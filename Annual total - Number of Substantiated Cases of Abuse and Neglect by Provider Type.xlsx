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knewman/Documents/ZackNewsMan, LLC/Colorado Sun/Child care/CDEC child care injuries - abuse aggregates/"/>
    </mc:Choice>
  </mc:AlternateContent>
  <xr:revisionPtr revIDLastSave="0" documentId="13_ncr:1_{C5C2BAA7-3AF8-CD47-A6EC-A8A48A6A29B0}" xr6:coauthVersionLast="47" xr6:coauthVersionMax="47" xr10:uidLastSave="{00000000-0000-0000-0000-000000000000}"/>
  <bookViews>
    <workbookView xWindow="16720" yWindow="920" windowWidth="13340" windowHeight="18560" xr2:uid="{917C401A-6883-2640-9ED7-51F40F916EBC}"/>
  </bookViews>
  <sheets>
    <sheet name="gfx build" sheetId="1" r:id="rId1"/>
    <sheet name="data di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D13" i="1"/>
  <c r="C13" i="1"/>
  <c r="B13" i="1"/>
  <c r="C11" i="1"/>
  <c r="D11" i="1"/>
  <c r="E11" i="1"/>
  <c r="F11" i="1"/>
  <c r="G11" i="1"/>
  <c r="B11" i="1"/>
  <c r="G9" i="1"/>
  <c r="G3" i="1"/>
  <c r="G4" i="1"/>
  <c r="G5" i="1"/>
  <c r="G6" i="1"/>
  <c r="G7" i="1"/>
  <c r="G8" i="1"/>
  <c r="G2" i="1"/>
</calcChain>
</file>

<file path=xl/sharedStrings.xml><?xml version="1.0" encoding="utf-8"?>
<sst xmlns="http://schemas.openxmlformats.org/spreadsheetml/2006/main" count="19" uniqueCount="19">
  <si>
    <t>Center</t>
  </si>
  <si>
    <t>Home</t>
  </si>
  <si>
    <t>Preschool</t>
  </si>
  <si>
    <t>School-Age</t>
  </si>
  <si>
    <t>Legally Qualified Exempt, Non-relative</t>
  </si>
  <si>
    <t>Annual Total</t>
  </si>
  <si>
    <t>Year - FY</t>
  </si>
  <si>
    <t>FY2025: Federal Fiscal Year 2025 Report.pdf</t>
  </si>
  <si>
    <t>FY2024: Federal Fiscal Year 2024 Report.pdf</t>
  </si>
  <si>
    <t>FY2023: Injury Death Abuse Report FFY 2023.pdf</t>
  </si>
  <si>
    <t>FY2022: Federal Fiscal Year 2022 Report .pdf</t>
  </si>
  <si>
    <t>FY2021: Federal Fiscal Year 2021 Report.pdf</t>
  </si>
  <si>
    <t>FY20: FFY 2020 Report_InjuryAndFatalities.pdf</t>
  </si>
  <si>
    <t>FY19: FFY 2019 Report_InjuryAndFatalities.pdf</t>
  </si>
  <si>
    <t>FY18: FFY 2018 Reports_InjuryAndFatalities.pdf</t>
  </si>
  <si>
    <t>Sources:</t>
  </si>
  <si>
    <t xml:space="preserve">Unsure about why there's such a significant jump between FY2020 and FY2021 in abuse reports. </t>
  </si>
  <si>
    <t>Question out to Chynna, CDEC PIO</t>
  </si>
  <si>
    <t>olorado law defines child abuse and/or neglect in Section 19-1-13 of the Colorado Revised Statutes. The table below displays the number of cases of abuse and/or neglect that occurred in Licensed or Legally Qualified Exempt child care providers (non-relative only) and were founded, or substantiated, after investigation (n= 181) in Federal Fiscal Year 2025 (October 1, 2024 through September 30, 2025).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</si>
</sst>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C1VFVJJtu0exEMZ6_bAWqJvBIPJfxUnX/view" TargetMode="External"/><Relationship Id="rId3" Type="http://schemas.openxmlformats.org/officeDocument/2006/relationships/hyperlink" Target="https://drive.google.com/file/d/1m9YhHxGGanLEaz8TxfjXzvyMa16ulA1I/view" TargetMode="External"/><Relationship Id="rId7" Type="http://schemas.openxmlformats.org/officeDocument/2006/relationships/hyperlink" Target="https://drive.google.com/file/d/18T4SyK5F5XRULOvLIJiNeA4_gPe17smC/view" TargetMode="External"/><Relationship Id="rId2" Type="http://schemas.openxmlformats.org/officeDocument/2006/relationships/hyperlink" Target="https://drive.google.com/file/d/1SUDTs46El5Clz9PP890MBRZkJx5ZRW0E/view" TargetMode="External"/><Relationship Id="rId1" Type="http://schemas.openxmlformats.org/officeDocument/2006/relationships/hyperlink" Target="https://drive.google.com/file/d/1esDxsj_jXEAJGeo_dGle9Tj4qpdAfc_w/view" TargetMode="External"/><Relationship Id="rId6" Type="http://schemas.openxmlformats.org/officeDocument/2006/relationships/hyperlink" Target="https://drive.google.com/file/d/1OJu9tM4eYaX8YZ_aKZb-OvB4EhLoqEH2/view" TargetMode="External"/><Relationship Id="rId5" Type="http://schemas.openxmlformats.org/officeDocument/2006/relationships/hyperlink" Target="https://drive.google.com/file/d/1cQlwK_q-Wmmw4UBQuncxOwZf3BJbMOGM/view" TargetMode="External"/><Relationship Id="rId4" Type="http://schemas.openxmlformats.org/officeDocument/2006/relationships/hyperlink" Target="https://drive.google.com/file/d/1VMHl5U9gK5iWEkiG57WdRo21BfB8tysM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E72A-39BA-9649-8B88-A04D65A7F9D7}">
  <dimension ref="A1:G13"/>
  <sheetViews>
    <sheetView tabSelected="1" workbookViewId="0">
      <selection activeCell="E20" sqref="E20"/>
    </sheetView>
  </sheetViews>
  <sheetFormatPr baseColWidth="10" defaultRowHeight="16" x14ac:dyDescent="0.2"/>
  <cols>
    <col min="6" max="6" width="21.83203125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2018</v>
      </c>
      <c r="B2">
        <v>19</v>
      </c>
      <c r="C2">
        <v>9</v>
      </c>
      <c r="D2">
        <v>1</v>
      </c>
      <c r="E2">
        <v>5</v>
      </c>
      <c r="F2">
        <v>0</v>
      </c>
      <c r="G2">
        <f>SUM(B2:F2)</f>
        <v>34</v>
      </c>
    </row>
    <row r="3" spans="1:7" x14ac:dyDescent="0.2">
      <c r="A3">
        <v>2019</v>
      </c>
      <c r="B3">
        <v>24</v>
      </c>
      <c r="C3">
        <v>13</v>
      </c>
      <c r="D3">
        <v>1</v>
      </c>
      <c r="E3">
        <v>8</v>
      </c>
      <c r="F3">
        <v>0</v>
      </c>
      <c r="G3">
        <f t="shared" ref="G3:G9" si="0">SUM(B3:F3)</f>
        <v>46</v>
      </c>
    </row>
    <row r="4" spans="1:7" x14ac:dyDescent="0.2">
      <c r="A4">
        <v>2020</v>
      </c>
      <c r="B4">
        <v>18</v>
      </c>
      <c r="C4">
        <v>13</v>
      </c>
      <c r="D4">
        <v>2</v>
      </c>
      <c r="E4">
        <v>2</v>
      </c>
      <c r="F4">
        <v>0</v>
      </c>
      <c r="G4">
        <f t="shared" si="0"/>
        <v>35</v>
      </c>
    </row>
    <row r="5" spans="1:7" x14ac:dyDescent="0.2">
      <c r="A5">
        <v>2021</v>
      </c>
      <c r="B5">
        <v>125</v>
      </c>
      <c r="C5">
        <v>8</v>
      </c>
      <c r="D5">
        <v>5</v>
      </c>
      <c r="E5">
        <v>6</v>
      </c>
      <c r="F5">
        <v>0</v>
      </c>
      <c r="G5">
        <f t="shared" si="0"/>
        <v>144</v>
      </c>
    </row>
    <row r="6" spans="1:7" x14ac:dyDescent="0.2">
      <c r="A6">
        <v>2022</v>
      </c>
      <c r="B6">
        <v>105</v>
      </c>
      <c r="C6">
        <v>24</v>
      </c>
      <c r="D6">
        <v>4</v>
      </c>
      <c r="E6">
        <v>8</v>
      </c>
      <c r="F6">
        <v>0</v>
      </c>
      <c r="G6">
        <f t="shared" si="0"/>
        <v>141</v>
      </c>
    </row>
    <row r="7" spans="1:7" x14ac:dyDescent="0.2">
      <c r="A7">
        <v>2023</v>
      </c>
      <c r="B7">
        <v>122</v>
      </c>
      <c r="C7">
        <v>12</v>
      </c>
      <c r="D7">
        <v>4</v>
      </c>
      <c r="E7">
        <v>12</v>
      </c>
      <c r="F7">
        <v>0</v>
      </c>
      <c r="G7">
        <f t="shared" si="0"/>
        <v>150</v>
      </c>
    </row>
    <row r="8" spans="1:7" x14ac:dyDescent="0.2">
      <c r="A8">
        <v>2024</v>
      </c>
      <c r="B8">
        <v>142</v>
      </c>
      <c r="C8">
        <v>12</v>
      </c>
      <c r="D8">
        <v>6</v>
      </c>
      <c r="E8">
        <v>8</v>
      </c>
      <c r="F8">
        <v>0</v>
      </c>
      <c r="G8">
        <f t="shared" si="0"/>
        <v>168</v>
      </c>
    </row>
    <row r="9" spans="1:7" x14ac:dyDescent="0.2">
      <c r="A9">
        <v>2025</v>
      </c>
      <c r="B9">
        <v>141</v>
      </c>
      <c r="C9">
        <v>15</v>
      </c>
      <c r="D9">
        <v>11</v>
      </c>
      <c r="E9">
        <v>14</v>
      </c>
      <c r="F9">
        <v>0</v>
      </c>
      <c r="G9">
        <f t="shared" si="0"/>
        <v>181</v>
      </c>
    </row>
    <row r="11" spans="1:7" x14ac:dyDescent="0.2">
      <c r="B11">
        <f>SUM(B2:B9)</f>
        <v>696</v>
      </c>
      <c r="C11">
        <f t="shared" ref="C11:G11" si="1">SUM(C2:C9)</f>
        <v>106</v>
      </c>
      <c r="D11">
        <f t="shared" si="1"/>
        <v>34</v>
      </c>
      <c r="E11">
        <f t="shared" si="1"/>
        <v>63</v>
      </c>
      <c r="F11">
        <f t="shared" si="1"/>
        <v>0</v>
      </c>
      <c r="G11">
        <f t="shared" si="1"/>
        <v>899</v>
      </c>
    </row>
    <row r="13" spans="1:7" x14ac:dyDescent="0.2">
      <c r="B13">
        <f>(B11/G11)*100</f>
        <v>77.41935483870968</v>
      </c>
      <c r="C13">
        <f>(C11/G11)*100</f>
        <v>11.790878754171301</v>
      </c>
      <c r="D13">
        <f>(D11/G11)*100</f>
        <v>3.7819799777530592</v>
      </c>
      <c r="E13">
        <f>(E11/G11)*100</f>
        <v>7.0077864293659626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2D55-B848-CB41-8BDE-2CADB37022D5}">
  <dimension ref="A1:B14"/>
  <sheetViews>
    <sheetView workbookViewId="0">
      <selection activeCell="A14" sqref="A14"/>
    </sheetView>
  </sheetViews>
  <sheetFormatPr baseColWidth="10" defaultRowHeight="16" x14ac:dyDescent="0.2"/>
  <sheetData>
    <row r="1" spans="1:2" x14ac:dyDescent="0.2">
      <c r="A1" t="s">
        <v>15</v>
      </c>
    </row>
    <row r="2" spans="1:2" x14ac:dyDescent="0.2">
      <c r="B2" s="1" t="s">
        <v>7</v>
      </c>
    </row>
    <row r="3" spans="1:2" x14ac:dyDescent="0.2">
      <c r="B3" s="1" t="s">
        <v>8</v>
      </c>
    </row>
    <row r="4" spans="1:2" x14ac:dyDescent="0.2">
      <c r="B4" s="1" t="s">
        <v>9</v>
      </c>
    </row>
    <row r="5" spans="1:2" x14ac:dyDescent="0.2">
      <c r="B5" s="1" t="s">
        <v>10</v>
      </c>
    </row>
    <row r="6" spans="1:2" x14ac:dyDescent="0.2">
      <c r="B6" s="1" t="s">
        <v>11</v>
      </c>
    </row>
    <row r="7" spans="1:2" x14ac:dyDescent="0.2">
      <c r="B7" s="1" t="s">
        <v>12</v>
      </c>
    </row>
    <row r="8" spans="1:2" x14ac:dyDescent="0.2">
      <c r="B8" s="1" t="s">
        <v>13</v>
      </c>
    </row>
    <row r="9" spans="1:2" x14ac:dyDescent="0.2">
      <c r="B9" s="1" t="s">
        <v>14</v>
      </c>
    </row>
    <row r="11" spans="1:2" x14ac:dyDescent="0.2">
      <c r="A11" t="s">
        <v>16</v>
      </c>
    </row>
    <row r="12" spans="1:2" x14ac:dyDescent="0.2">
      <c r="B12" t="s">
        <v>17</v>
      </c>
    </row>
    <row r="14" spans="1:2" x14ac:dyDescent="0.2">
      <c r="A14" s="2" t="s">
        <v>18</v>
      </c>
    </row>
  </sheetData>
  <hyperlinks>
    <hyperlink ref="B2" r:id="rId1" display="https://drive.google.com/file/d/1esDxsj_jXEAJGeo_dGle9Tj4qpdAfc_w/view" xr:uid="{9AB59B72-8BCC-C449-9E28-14C73CB684D2}"/>
    <hyperlink ref="B3" r:id="rId2" display="https://drive.google.com/file/d/1SUDTs46El5Clz9PP890MBRZkJx5ZRW0E/view" xr:uid="{F31C31C3-959E-E44A-8778-900BFCC7F1D7}"/>
    <hyperlink ref="B4" r:id="rId3" display="https://drive.google.com/file/d/1m9YhHxGGanLEaz8TxfjXzvyMa16ulA1I/view" xr:uid="{0503A13E-1849-EF41-B153-D5734B6B7F8D}"/>
    <hyperlink ref="B5" r:id="rId4" display="https://drive.google.com/file/d/1VMHl5U9gK5iWEkiG57WdRo21BfB8tysM/view" xr:uid="{E9C5F4E4-5C5C-5844-B0E8-A502945FC0BF}"/>
    <hyperlink ref="B6" r:id="rId5" display="https://drive.google.com/file/d/1cQlwK_q-Wmmw4UBQuncxOwZf3BJbMOGM/view" xr:uid="{D23786B8-EED2-054B-8292-C60B91CDBF99}"/>
    <hyperlink ref="B7" r:id="rId6" display="https://drive.google.com/file/d/1OJu9tM4eYaX8YZ_aKZb-OvB4EhLoqEH2/view" xr:uid="{AFB9DB29-EE0A-1D42-AAC8-89A025D5098C}"/>
    <hyperlink ref="B8" r:id="rId7" display="https://drive.google.com/file/d/18T4SyK5F5XRULOvLIJiNeA4_gPe17smC/view" xr:uid="{1935E343-3907-FC4D-A22C-2EAA2C57D6DB}"/>
    <hyperlink ref="B9" r:id="rId8" display="https://drive.google.com/file/d/1C1VFVJJtu0exEMZ6_bAWqJvBIPJfxUnX/view" xr:uid="{C97F3D07-FE31-CD40-A6C1-A76B9921E5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gfx build</vt:lpstr>
      <vt:lpstr>data diary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Newman</dc:creator>
  <cp:lastModifiedBy>Zack Newman</cp:lastModifiedBy>
  <dcterms:created xsi:type="dcterms:W3CDTF">2026-03-10T22:33:59Z</dcterms:created>
  <dcterms:modified xsi:type="dcterms:W3CDTF">2026-03-10T23:37:04Z</dcterms:modified>
</cp:coreProperties>
</file>