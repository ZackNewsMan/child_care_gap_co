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acknewman/Documents/ZackNewsMan, LLC/Colorado Sun/Child care/Data - child care/"/>
    </mc:Choice>
  </mc:AlternateContent>
  <xr:revisionPtr revIDLastSave="0" documentId="13_ncr:40009_{63FCDD37-86B3-7E47-A7F6-5C1134710257}" xr6:coauthVersionLast="47" xr6:coauthVersionMax="47" xr10:uidLastSave="{00000000-0000-0000-0000-000000000000}"/>
  <bookViews>
    <workbookView xWindow="700" yWindow="1700" windowWidth="26840" windowHeight="15940" activeTab="1"/>
  </bookViews>
  <sheets>
    <sheet name="sep_columns_under_three_infant_" sheetId="1" r:id="rId1"/>
    <sheet name="gfx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2" i="1"/>
</calcChain>
</file>

<file path=xl/sharedStrings.xml><?xml version="1.0" encoding="utf-8"?>
<sst xmlns="http://schemas.openxmlformats.org/spreadsheetml/2006/main" count="205" uniqueCount="140">
  <si>
    <t>NAME</t>
  </si>
  <si>
    <t>sum_kids_under_3</t>
  </si>
  <si>
    <t>county</t>
  </si>
  <si>
    <t>sum_infant_total_spots</t>
  </si>
  <si>
    <t>sum_toddler_total_spots</t>
  </si>
  <si>
    <t>spot_infant_toddler_gap</t>
  </si>
  <si>
    <t>gap_ratio</t>
  </si>
  <si>
    <t>Adams County, Colorado</t>
  </si>
  <si>
    <t>Adams</t>
  </si>
  <si>
    <t>Alamosa County, Colorado</t>
  </si>
  <si>
    <t>Alamosa</t>
  </si>
  <si>
    <t>Arapahoe County, Colorado</t>
  </si>
  <si>
    <t>Arapahoe</t>
  </si>
  <si>
    <t>Archuleta County, Colorado</t>
  </si>
  <si>
    <t>Archuleta</t>
  </si>
  <si>
    <t>Baca County, Colorado</t>
  </si>
  <si>
    <t>Baca</t>
  </si>
  <si>
    <t>Bent County, Colorado</t>
  </si>
  <si>
    <t>Bent</t>
  </si>
  <si>
    <t>Boulder County, Colorado</t>
  </si>
  <si>
    <t>Boulder</t>
  </si>
  <si>
    <t>Broomfield County, Colorado</t>
  </si>
  <si>
    <t>Broomfield</t>
  </si>
  <si>
    <t>Chaffee County, Colorado</t>
  </si>
  <si>
    <t>Chaffee</t>
  </si>
  <si>
    <t>Cheyenne County, Colorado</t>
  </si>
  <si>
    <t>Cheyenne</t>
  </si>
  <si>
    <t>Clear Creek County, Colorado</t>
  </si>
  <si>
    <t>Clear Creek</t>
  </si>
  <si>
    <t>Conejos County, Colorado</t>
  </si>
  <si>
    <t>Conejos</t>
  </si>
  <si>
    <t>Costilla County, Colorado</t>
  </si>
  <si>
    <t>Costilla</t>
  </si>
  <si>
    <t>Crowley County, Colorado</t>
  </si>
  <si>
    <t>Crowley</t>
  </si>
  <si>
    <t>Custer County, Colorado</t>
  </si>
  <si>
    <t>Custer</t>
  </si>
  <si>
    <t>Delta County, Colorado</t>
  </si>
  <si>
    <t>Delta</t>
  </si>
  <si>
    <t>Denver County, Colorado</t>
  </si>
  <si>
    <t>Denver</t>
  </si>
  <si>
    <t>Dolores County, Colorado</t>
  </si>
  <si>
    <t>Dolores</t>
  </si>
  <si>
    <t>Douglas County, Colorado</t>
  </si>
  <si>
    <t>Douglas</t>
  </si>
  <si>
    <t>Eagle County, Colorado</t>
  </si>
  <si>
    <t>Eagle</t>
  </si>
  <si>
    <t>El Paso County, Colorado</t>
  </si>
  <si>
    <t>El Paso</t>
  </si>
  <si>
    <t>Elbert County, Colorado</t>
  </si>
  <si>
    <t>Elbert</t>
  </si>
  <si>
    <t>Fremont County, Colorado</t>
  </si>
  <si>
    <t>Fremont</t>
  </si>
  <si>
    <t>Garfield County, Colorado</t>
  </si>
  <si>
    <t>Garfield</t>
  </si>
  <si>
    <t>Gilpin County, Colorado</t>
  </si>
  <si>
    <t>Gilpin</t>
  </si>
  <si>
    <t>Grand County, Colorado</t>
  </si>
  <si>
    <t>Grand</t>
  </si>
  <si>
    <t>Gunnison County, Colorado</t>
  </si>
  <si>
    <t>Gunnison</t>
  </si>
  <si>
    <t>Hinsdale County, Colorado</t>
  </si>
  <si>
    <t>Hinsdale</t>
  </si>
  <si>
    <t>Huerfano County, Colorado</t>
  </si>
  <si>
    <t>Huerfano</t>
  </si>
  <si>
    <t>Jackson County, Colorado</t>
  </si>
  <si>
    <t>Jackson</t>
  </si>
  <si>
    <t>Jefferson County, Colorado</t>
  </si>
  <si>
    <t>Jefferson</t>
  </si>
  <si>
    <t>Kiowa County, Colorado</t>
  </si>
  <si>
    <t>Kiowa</t>
  </si>
  <si>
    <t>Kit Carson County, Colorado</t>
  </si>
  <si>
    <t>Kit Carson</t>
  </si>
  <si>
    <t>La Plata County, Colorado</t>
  </si>
  <si>
    <t>La Plata</t>
  </si>
  <si>
    <t>Lake County, Colorado</t>
  </si>
  <si>
    <t>Lake</t>
  </si>
  <si>
    <t>Larimer County, Colorado</t>
  </si>
  <si>
    <t>Larimer</t>
  </si>
  <si>
    <t>Las Animas County, Colorado</t>
  </si>
  <si>
    <t>Las Animas</t>
  </si>
  <si>
    <t>Lincoln County, Colorado</t>
  </si>
  <si>
    <t>Lincoln</t>
  </si>
  <si>
    <t>Logan County, Colorado</t>
  </si>
  <si>
    <t>Logan</t>
  </si>
  <si>
    <t>Mesa County, Colorado</t>
  </si>
  <si>
    <t>Mesa</t>
  </si>
  <si>
    <t>Mineral County, Colorado</t>
  </si>
  <si>
    <t>Mineral</t>
  </si>
  <si>
    <t>Moffat County, Colorado</t>
  </si>
  <si>
    <t>Moffat</t>
  </si>
  <si>
    <t>Montezuma County, Colorado</t>
  </si>
  <si>
    <t>Montezuma</t>
  </si>
  <si>
    <t>Montrose County, Colorado</t>
  </si>
  <si>
    <t>Montrose</t>
  </si>
  <si>
    <t>Morgan County, Colorado</t>
  </si>
  <si>
    <t>Morgan</t>
  </si>
  <si>
    <t>Otero County, Colorado</t>
  </si>
  <si>
    <t>Otero</t>
  </si>
  <si>
    <t>Ouray County, Colorado</t>
  </si>
  <si>
    <t>Ouray</t>
  </si>
  <si>
    <t>Park County, Colorado</t>
  </si>
  <si>
    <t>Park</t>
  </si>
  <si>
    <t>Phillips County, Colorado</t>
  </si>
  <si>
    <t>Phillips</t>
  </si>
  <si>
    <t>Pitkin County, Colorado</t>
  </si>
  <si>
    <t>Pitkin</t>
  </si>
  <si>
    <t>Prowers County, Colorado</t>
  </si>
  <si>
    <t>Prowers</t>
  </si>
  <si>
    <t>Pueblo County, Colorado</t>
  </si>
  <si>
    <t>Pueblo</t>
  </si>
  <si>
    <t>Rio Blanco County, Colorado</t>
  </si>
  <si>
    <t>Rio Blanco</t>
  </si>
  <si>
    <t>Rio Grande County, Colorado</t>
  </si>
  <si>
    <t>Rio Grande</t>
  </si>
  <si>
    <t>Routt County, Colorado</t>
  </si>
  <si>
    <t>Routt</t>
  </si>
  <si>
    <t>Saguache County, Colorado</t>
  </si>
  <si>
    <t>Saguache</t>
  </si>
  <si>
    <t>San Juan County, Colorado</t>
  </si>
  <si>
    <t>San Juan</t>
  </si>
  <si>
    <t>San Miguel County, Colorado</t>
  </si>
  <si>
    <t>San Miguel</t>
  </si>
  <si>
    <t>Sedgwick County, Colorado</t>
  </si>
  <si>
    <t>Sedgwick</t>
  </si>
  <si>
    <t>Summit County, Colorado</t>
  </si>
  <si>
    <t>Summit</t>
  </si>
  <si>
    <t>Teller County, Colorado</t>
  </si>
  <si>
    <t>Teller</t>
  </si>
  <si>
    <t>Washington County, Colorado</t>
  </si>
  <si>
    <t>Washington</t>
  </si>
  <si>
    <t>Weld County, Colorado</t>
  </si>
  <si>
    <t>Weld</t>
  </si>
  <si>
    <t>Yuma County, Colorado</t>
  </si>
  <si>
    <t>Yuma</t>
  </si>
  <si>
    <t>Number of children under 3-years-old</t>
  </si>
  <si>
    <t>Total licensed capacity just for infants</t>
  </si>
  <si>
    <t>Total licensed capacity just for  toddlers</t>
  </si>
  <si>
    <t>Gap between total number of children and licensed spots</t>
  </si>
  <si>
    <t>Percentage of kids per county not getting child 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</si>
</sst>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5"/>
  <sheetViews>
    <sheetView workbookViewId="0">
      <selection activeCell="B13" sqref="A1:H65"/>
    </sheetView>
  </sheetViews>
  <sheetFormatPr baseColWidth="10" defaultRowHeight="16" x14ac:dyDescent="0.2"/>
  <cols>
    <col min="2" max="2" width="33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2">
      <c r="A2" t="s">
        <v>7</v>
      </c>
      <c r="B2">
        <v>19751</v>
      </c>
      <c r="C2" t="s">
        <v>8</v>
      </c>
      <c r="D2">
        <v>732</v>
      </c>
      <c r="E2">
        <v>1710</v>
      </c>
      <c r="F2">
        <v>17309</v>
      </c>
      <c r="G2">
        <v>87.636069059794394</v>
      </c>
      <c r="H2">
        <f>B2-D2-E2</f>
        <v>17309</v>
      </c>
    </row>
    <row r="3" spans="1:8" x14ac:dyDescent="0.2">
      <c r="A3" t="s">
        <v>9</v>
      </c>
      <c r="B3">
        <v>478</v>
      </c>
      <c r="C3" t="s">
        <v>10</v>
      </c>
      <c r="D3">
        <v>43</v>
      </c>
      <c r="E3">
        <v>100</v>
      </c>
      <c r="F3">
        <v>335</v>
      </c>
      <c r="G3">
        <v>70.0836820083682</v>
      </c>
      <c r="H3">
        <f t="shared" ref="H3:H65" si="0">B3-D3-E3</f>
        <v>335</v>
      </c>
    </row>
    <row r="4" spans="1:8" x14ac:dyDescent="0.2">
      <c r="A4" t="s">
        <v>11</v>
      </c>
      <c r="B4">
        <v>22484</v>
      </c>
      <c r="C4" t="s">
        <v>12</v>
      </c>
      <c r="D4">
        <v>1254</v>
      </c>
      <c r="E4">
        <v>2880</v>
      </c>
      <c r="F4">
        <v>18350</v>
      </c>
      <c r="G4">
        <v>81.613591887564397</v>
      </c>
      <c r="H4">
        <f t="shared" si="0"/>
        <v>18350</v>
      </c>
    </row>
    <row r="5" spans="1:8" x14ac:dyDescent="0.2">
      <c r="A5" t="s">
        <v>13</v>
      </c>
      <c r="B5">
        <v>275</v>
      </c>
      <c r="C5" t="s">
        <v>14</v>
      </c>
      <c r="D5">
        <v>9</v>
      </c>
      <c r="E5">
        <v>24</v>
      </c>
      <c r="F5">
        <v>242</v>
      </c>
      <c r="G5">
        <v>88</v>
      </c>
      <c r="H5">
        <f t="shared" si="0"/>
        <v>242</v>
      </c>
    </row>
    <row r="6" spans="1:8" x14ac:dyDescent="0.2">
      <c r="A6" t="s">
        <v>15</v>
      </c>
      <c r="B6">
        <v>111</v>
      </c>
      <c r="C6" t="s">
        <v>16</v>
      </c>
      <c r="D6">
        <v>2</v>
      </c>
      <c r="E6">
        <v>3</v>
      </c>
      <c r="F6">
        <v>106</v>
      </c>
      <c r="G6">
        <v>95.495495495495504</v>
      </c>
      <c r="H6">
        <f t="shared" si="0"/>
        <v>106</v>
      </c>
    </row>
    <row r="7" spans="1:8" x14ac:dyDescent="0.2">
      <c r="A7" t="s">
        <v>17</v>
      </c>
      <c r="B7">
        <v>98</v>
      </c>
      <c r="C7" t="s">
        <v>18</v>
      </c>
      <c r="D7">
        <v>10</v>
      </c>
      <c r="E7">
        <v>10</v>
      </c>
      <c r="F7">
        <v>78</v>
      </c>
      <c r="G7">
        <v>79.5918367346938</v>
      </c>
      <c r="H7">
        <f t="shared" si="0"/>
        <v>78</v>
      </c>
    </row>
    <row r="8" spans="1:8" x14ac:dyDescent="0.2">
      <c r="A8" t="s">
        <v>19</v>
      </c>
      <c r="B8">
        <v>7232</v>
      </c>
      <c r="C8" t="s">
        <v>20</v>
      </c>
      <c r="D8">
        <v>608</v>
      </c>
      <c r="E8">
        <v>1528</v>
      </c>
      <c r="F8">
        <v>5096</v>
      </c>
      <c r="G8">
        <v>70.464601769911496</v>
      </c>
      <c r="H8">
        <f t="shared" si="0"/>
        <v>5096</v>
      </c>
    </row>
    <row r="9" spans="1:8" x14ac:dyDescent="0.2">
      <c r="A9" t="s">
        <v>21</v>
      </c>
      <c r="B9">
        <v>1994</v>
      </c>
      <c r="C9" t="s">
        <v>22</v>
      </c>
      <c r="D9">
        <v>191</v>
      </c>
      <c r="E9">
        <v>453</v>
      </c>
      <c r="F9">
        <v>1350</v>
      </c>
      <c r="G9">
        <v>67.703109327983896</v>
      </c>
      <c r="H9">
        <f t="shared" si="0"/>
        <v>1350</v>
      </c>
    </row>
    <row r="10" spans="1:8" x14ac:dyDescent="0.2">
      <c r="A10" t="s">
        <v>23</v>
      </c>
      <c r="B10">
        <v>330</v>
      </c>
      <c r="C10" t="s">
        <v>24</v>
      </c>
      <c r="D10">
        <v>0</v>
      </c>
      <c r="E10">
        <v>88</v>
      </c>
      <c r="F10">
        <v>242</v>
      </c>
      <c r="G10">
        <v>73.3333333333333</v>
      </c>
      <c r="H10">
        <f t="shared" si="0"/>
        <v>242</v>
      </c>
    </row>
    <row r="11" spans="1:8" x14ac:dyDescent="0.2">
      <c r="A11" t="s">
        <v>25</v>
      </c>
      <c r="B11">
        <v>59</v>
      </c>
      <c r="C11" t="s">
        <v>26</v>
      </c>
      <c r="D11">
        <v>5</v>
      </c>
      <c r="E11">
        <v>5</v>
      </c>
      <c r="F11">
        <v>49</v>
      </c>
      <c r="G11">
        <v>83.0508474576271</v>
      </c>
      <c r="H11">
        <f t="shared" si="0"/>
        <v>49</v>
      </c>
    </row>
    <row r="12" spans="1:8" x14ac:dyDescent="0.2">
      <c r="A12" t="s">
        <v>27</v>
      </c>
      <c r="B12">
        <v>141</v>
      </c>
      <c r="C12" t="s">
        <v>28</v>
      </c>
      <c r="D12">
        <v>10</v>
      </c>
      <c r="E12">
        <v>29</v>
      </c>
      <c r="F12">
        <v>102</v>
      </c>
      <c r="G12">
        <v>72.340425531914903</v>
      </c>
      <c r="H12">
        <f t="shared" si="0"/>
        <v>102</v>
      </c>
    </row>
    <row r="13" spans="1:8" x14ac:dyDescent="0.2">
      <c r="A13" t="s">
        <v>29</v>
      </c>
      <c r="B13">
        <v>234</v>
      </c>
      <c r="C13" t="s">
        <v>30</v>
      </c>
      <c r="D13">
        <v>0</v>
      </c>
      <c r="E13">
        <v>0</v>
      </c>
      <c r="F13">
        <v>234</v>
      </c>
      <c r="G13">
        <v>100</v>
      </c>
      <c r="H13">
        <f t="shared" si="0"/>
        <v>234</v>
      </c>
    </row>
    <row r="14" spans="1:8" x14ac:dyDescent="0.2">
      <c r="A14" t="s">
        <v>31</v>
      </c>
      <c r="B14">
        <v>74</v>
      </c>
      <c r="C14" t="s">
        <v>32</v>
      </c>
      <c r="D14">
        <v>4</v>
      </c>
      <c r="E14">
        <v>18</v>
      </c>
      <c r="F14">
        <v>52</v>
      </c>
      <c r="G14">
        <v>70.270270270270203</v>
      </c>
      <c r="H14">
        <f t="shared" si="0"/>
        <v>52</v>
      </c>
    </row>
    <row r="15" spans="1:8" x14ac:dyDescent="0.2">
      <c r="A15" t="s">
        <v>33</v>
      </c>
      <c r="B15">
        <v>91</v>
      </c>
      <c r="C15" t="s">
        <v>34</v>
      </c>
      <c r="D15">
        <v>8</v>
      </c>
      <c r="E15">
        <v>10</v>
      </c>
      <c r="F15">
        <v>73</v>
      </c>
      <c r="G15">
        <v>80.219780219780205</v>
      </c>
      <c r="H15">
        <f t="shared" si="0"/>
        <v>73</v>
      </c>
    </row>
    <row r="16" spans="1:8" x14ac:dyDescent="0.2">
      <c r="A16" t="s">
        <v>35</v>
      </c>
      <c r="B16">
        <v>60</v>
      </c>
      <c r="C16" t="s">
        <v>36</v>
      </c>
      <c r="D16">
        <v>5</v>
      </c>
      <c r="E16">
        <v>8</v>
      </c>
      <c r="F16">
        <v>47</v>
      </c>
      <c r="G16">
        <v>78.3333333333333</v>
      </c>
      <c r="H16">
        <f t="shared" si="0"/>
        <v>47</v>
      </c>
    </row>
    <row r="17" spans="1:8" x14ac:dyDescent="0.2">
      <c r="A17" t="s">
        <v>37</v>
      </c>
      <c r="B17">
        <v>791</v>
      </c>
      <c r="C17" t="s">
        <v>38</v>
      </c>
      <c r="D17">
        <v>7</v>
      </c>
      <c r="E17">
        <v>22</v>
      </c>
      <c r="F17">
        <v>762</v>
      </c>
      <c r="G17">
        <v>96.333754740834394</v>
      </c>
      <c r="H17">
        <f t="shared" si="0"/>
        <v>762</v>
      </c>
    </row>
    <row r="18" spans="1:8" x14ac:dyDescent="0.2">
      <c r="A18" t="s">
        <v>39</v>
      </c>
      <c r="B18">
        <v>22888</v>
      </c>
      <c r="C18" t="s">
        <v>40</v>
      </c>
      <c r="D18">
        <v>1315</v>
      </c>
      <c r="E18">
        <v>3418</v>
      </c>
      <c r="F18">
        <v>18155</v>
      </c>
      <c r="G18">
        <v>79.321041593848307</v>
      </c>
      <c r="H18">
        <f t="shared" si="0"/>
        <v>18155</v>
      </c>
    </row>
    <row r="19" spans="1:8" x14ac:dyDescent="0.2">
      <c r="A19" t="s">
        <v>41</v>
      </c>
      <c r="B19">
        <v>97</v>
      </c>
      <c r="C19" t="s">
        <v>42</v>
      </c>
      <c r="D19">
        <v>5</v>
      </c>
      <c r="E19">
        <v>7</v>
      </c>
      <c r="F19">
        <v>85</v>
      </c>
      <c r="G19">
        <v>87.628865979381402</v>
      </c>
      <c r="H19">
        <f t="shared" si="0"/>
        <v>85</v>
      </c>
    </row>
    <row r="20" spans="1:8" x14ac:dyDescent="0.2">
      <c r="A20" t="s">
        <v>43</v>
      </c>
      <c r="B20">
        <v>12180</v>
      </c>
      <c r="C20" t="s">
        <v>44</v>
      </c>
      <c r="D20">
        <v>849</v>
      </c>
      <c r="E20">
        <v>2344</v>
      </c>
      <c r="F20">
        <v>8987</v>
      </c>
      <c r="G20">
        <v>73.784893267651796</v>
      </c>
      <c r="H20">
        <f t="shared" si="0"/>
        <v>8987</v>
      </c>
    </row>
    <row r="21" spans="1:8" x14ac:dyDescent="0.2">
      <c r="A21" t="s">
        <v>45</v>
      </c>
      <c r="B21">
        <v>1325</v>
      </c>
      <c r="C21" t="s">
        <v>46</v>
      </c>
      <c r="D21">
        <v>188</v>
      </c>
      <c r="E21">
        <v>389</v>
      </c>
      <c r="F21">
        <v>748</v>
      </c>
      <c r="G21">
        <v>56.452830188679201</v>
      </c>
      <c r="H21">
        <f t="shared" si="0"/>
        <v>748</v>
      </c>
    </row>
    <row r="22" spans="1:8" x14ac:dyDescent="0.2">
      <c r="A22" t="s">
        <v>47</v>
      </c>
      <c r="B22">
        <v>26963</v>
      </c>
      <c r="C22" t="s">
        <v>48</v>
      </c>
      <c r="D22">
        <v>998</v>
      </c>
      <c r="E22">
        <v>2320</v>
      </c>
      <c r="F22">
        <v>23645</v>
      </c>
      <c r="G22">
        <v>87.694247672736694</v>
      </c>
      <c r="H22">
        <f t="shared" si="0"/>
        <v>23645</v>
      </c>
    </row>
    <row r="23" spans="1:8" x14ac:dyDescent="0.2">
      <c r="A23" t="s">
        <v>49</v>
      </c>
      <c r="B23">
        <v>767</v>
      </c>
      <c r="C23" t="s">
        <v>50</v>
      </c>
      <c r="D23">
        <v>10</v>
      </c>
      <c r="E23">
        <v>30</v>
      </c>
      <c r="F23">
        <v>727</v>
      </c>
      <c r="G23">
        <v>94.784876140808294</v>
      </c>
      <c r="H23">
        <f t="shared" si="0"/>
        <v>727</v>
      </c>
    </row>
    <row r="24" spans="1:8" x14ac:dyDescent="0.2">
      <c r="A24" t="s">
        <v>51</v>
      </c>
      <c r="B24">
        <v>1215</v>
      </c>
      <c r="C24" t="s">
        <v>52</v>
      </c>
      <c r="D24">
        <v>40</v>
      </c>
      <c r="E24">
        <v>56</v>
      </c>
      <c r="F24">
        <v>1119</v>
      </c>
      <c r="G24">
        <v>92.098765432098702</v>
      </c>
      <c r="H24">
        <f t="shared" si="0"/>
        <v>1119</v>
      </c>
    </row>
    <row r="25" spans="1:8" x14ac:dyDescent="0.2">
      <c r="A25" t="s">
        <v>53</v>
      </c>
      <c r="B25">
        <v>2227</v>
      </c>
      <c r="C25" t="s">
        <v>54</v>
      </c>
      <c r="D25">
        <v>59</v>
      </c>
      <c r="E25">
        <v>204</v>
      </c>
      <c r="F25">
        <v>1964</v>
      </c>
      <c r="G25">
        <v>88.190390660080794</v>
      </c>
      <c r="H25">
        <f t="shared" si="0"/>
        <v>1964</v>
      </c>
    </row>
    <row r="26" spans="1:8" x14ac:dyDescent="0.2">
      <c r="A26" t="s">
        <v>55</v>
      </c>
      <c r="B26">
        <v>246</v>
      </c>
      <c r="C26" t="s">
        <v>56</v>
      </c>
      <c r="D26">
        <v>10</v>
      </c>
      <c r="E26">
        <v>20</v>
      </c>
      <c r="F26">
        <v>216</v>
      </c>
      <c r="G26">
        <v>87.804878048780495</v>
      </c>
      <c r="H26">
        <f t="shared" si="0"/>
        <v>216</v>
      </c>
    </row>
    <row r="27" spans="1:8" x14ac:dyDescent="0.2">
      <c r="A27" t="s">
        <v>57</v>
      </c>
      <c r="B27">
        <v>371</v>
      </c>
      <c r="C27" t="s">
        <v>58</v>
      </c>
      <c r="D27">
        <v>35</v>
      </c>
      <c r="E27">
        <v>46</v>
      </c>
      <c r="F27">
        <v>290</v>
      </c>
      <c r="G27">
        <v>78.167115902964895</v>
      </c>
      <c r="H27">
        <f t="shared" si="0"/>
        <v>290</v>
      </c>
    </row>
    <row r="28" spans="1:8" x14ac:dyDescent="0.2">
      <c r="A28" t="s">
        <v>59</v>
      </c>
      <c r="B28">
        <v>289</v>
      </c>
      <c r="C28" t="s">
        <v>60</v>
      </c>
      <c r="D28">
        <v>29</v>
      </c>
      <c r="E28">
        <v>61</v>
      </c>
      <c r="F28">
        <v>199</v>
      </c>
      <c r="G28">
        <v>68.858131487889196</v>
      </c>
      <c r="H28">
        <f t="shared" si="0"/>
        <v>199</v>
      </c>
    </row>
    <row r="29" spans="1:8" x14ac:dyDescent="0.2">
      <c r="A29" t="s">
        <v>61</v>
      </c>
      <c r="B29">
        <v>23</v>
      </c>
      <c r="C29" t="s">
        <v>62</v>
      </c>
      <c r="D29">
        <v>0</v>
      </c>
      <c r="E29">
        <v>7</v>
      </c>
      <c r="F29">
        <v>16</v>
      </c>
      <c r="G29">
        <v>69.565217391304301</v>
      </c>
      <c r="H29">
        <f t="shared" si="0"/>
        <v>16</v>
      </c>
    </row>
    <row r="30" spans="1:8" x14ac:dyDescent="0.2">
      <c r="A30" t="s">
        <v>63</v>
      </c>
      <c r="B30">
        <v>178</v>
      </c>
      <c r="C30" t="s">
        <v>64</v>
      </c>
      <c r="D30">
        <v>5</v>
      </c>
      <c r="E30">
        <v>8</v>
      </c>
      <c r="F30">
        <v>165</v>
      </c>
      <c r="G30">
        <v>92.696629213483106</v>
      </c>
      <c r="H30">
        <f t="shared" si="0"/>
        <v>165</v>
      </c>
    </row>
    <row r="31" spans="1:8" x14ac:dyDescent="0.2">
      <c r="A31" t="s">
        <v>65</v>
      </c>
      <c r="B31">
        <v>11</v>
      </c>
      <c r="C31" t="s">
        <v>66</v>
      </c>
      <c r="D31">
        <v>0</v>
      </c>
      <c r="E31">
        <v>0</v>
      </c>
      <c r="F31">
        <v>11</v>
      </c>
      <c r="G31">
        <v>100</v>
      </c>
      <c r="H31">
        <f t="shared" si="0"/>
        <v>11</v>
      </c>
    </row>
    <row r="32" spans="1:8" x14ac:dyDescent="0.2">
      <c r="A32" t="s">
        <v>67</v>
      </c>
      <c r="B32">
        <v>16519</v>
      </c>
      <c r="C32" t="s">
        <v>68</v>
      </c>
      <c r="D32">
        <v>1347</v>
      </c>
      <c r="E32">
        <v>3431</v>
      </c>
      <c r="F32">
        <v>11741</v>
      </c>
      <c r="G32">
        <v>71.075730976451297</v>
      </c>
      <c r="H32">
        <f t="shared" si="0"/>
        <v>11741</v>
      </c>
    </row>
    <row r="33" spans="1:8" x14ac:dyDescent="0.2">
      <c r="A33" t="s">
        <v>69</v>
      </c>
      <c r="B33">
        <v>30</v>
      </c>
      <c r="C33" t="s">
        <v>70</v>
      </c>
      <c r="D33">
        <v>0</v>
      </c>
      <c r="E33">
        <v>0</v>
      </c>
      <c r="F33">
        <v>30</v>
      </c>
      <c r="G33">
        <v>100</v>
      </c>
      <c r="H33">
        <f t="shared" si="0"/>
        <v>30</v>
      </c>
    </row>
    <row r="34" spans="1:8" x14ac:dyDescent="0.2">
      <c r="A34" t="s">
        <v>71</v>
      </c>
      <c r="B34">
        <v>308</v>
      </c>
      <c r="C34" t="s">
        <v>72</v>
      </c>
      <c r="D34">
        <v>9</v>
      </c>
      <c r="E34">
        <v>9</v>
      </c>
      <c r="F34">
        <v>290</v>
      </c>
      <c r="G34">
        <v>94.155844155844093</v>
      </c>
      <c r="H34">
        <f t="shared" si="0"/>
        <v>290</v>
      </c>
    </row>
    <row r="35" spans="1:8" x14ac:dyDescent="0.2">
      <c r="A35" t="s">
        <v>73</v>
      </c>
      <c r="B35">
        <v>1312</v>
      </c>
      <c r="C35" t="s">
        <v>74</v>
      </c>
      <c r="D35">
        <v>57</v>
      </c>
      <c r="E35">
        <v>216</v>
      </c>
      <c r="F35">
        <v>1039</v>
      </c>
      <c r="G35">
        <v>79.192073170731703</v>
      </c>
      <c r="H35">
        <f t="shared" si="0"/>
        <v>1039</v>
      </c>
    </row>
    <row r="36" spans="1:8" x14ac:dyDescent="0.2">
      <c r="A36" t="s">
        <v>75</v>
      </c>
      <c r="B36">
        <v>242</v>
      </c>
      <c r="C36" t="s">
        <v>76</v>
      </c>
      <c r="D36">
        <v>0</v>
      </c>
      <c r="E36">
        <v>10</v>
      </c>
      <c r="F36">
        <v>232</v>
      </c>
      <c r="G36">
        <v>95.867768595041298</v>
      </c>
      <c r="H36">
        <f t="shared" si="0"/>
        <v>232</v>
      </c>
    </row>
    <row r="37" spans="1:8" x14ac:dyDescent="0.2">
      <c r="A37" t="s">
        <v>77</v>
      </c>
      <c r="B37">
        <v>8885</v>
      </c>
      <c r="C37" t="s">
        <v>78</v>
      </c>
      <c r="D37">
        <v>613</v>
      </c>
      <c r="E37">
        <v>1481</v>
      </c>
      <c r="F37">
        <v>6791</v>
      </c>
      <c r="G37">
        <v>76.432189082723696</v>
      </c>
      <c r="H37">
        <f t="shared" si="0"/>
        <v>6791</v>
      </c>
    </row>
    <row r="38" spans="1:8" x14ac:dyDescent="0.2">
      <c r="A38" t="s">
        <v>79</v>
      </c>
      <c r="B38">
        <v>312</v>
      </c>
      <c r="C38" t="s">
        <v>80</v>
      </c>
      <c r="D38">
        <v>0</v>
      </c>
      <c r="E38">
        <v>24</v>
      </c>
      <c r="F38">
        <v>288</v>
      </c>
      <c r="G38">
        <v>92.307692307692307</v>
      </c>
      <c r="H38">
        <f t="shared" si="0"/>
        <v>288</v>
      </c>
    </row>
    <row r="39" spans="1:8" x14ac:dyDescent="0.2">
      <c r="A39" t="s">
        <v>81</v>
      </c>
      <c r="B39">
        <v>175</v>
      </c>
      <c r="C39" t="s">
        <v>82</v>
      </c>
      <c r="D39">
        <v>3</v>
      </c>
      <c r="E39">
        <v>2</v>
      </c>
      <c r="F39">
        <v>170</v>
      </c>
      <c r="G39">
        <v>97.142857142857096</v>
      </c>
      <c r="H39">
        <f t="shared" si="0"/>
        <v>170</v>
      </c>
    </row>
    <row r="40" spans="1:8" x14ac:dyDescent="0.2">
      <c r="A40" t="s">
        <v>83</v>
      </c>
      <c r="B40">
        <v>648</v>
      </c>
      <c r="C40" t="s">
        <v>84</v>
      </c>
      <c r="D40">
        <v>8</v>
      </c>
      <c r="E40">
        <v>29</v>
      </c>
      <c r="F40">
        <v>611</v>
      </c>
      <c r="G40">
        <v>94.290123456790099</v>
      </c>
      <c r="H40">
        <f t="shared" si="0"/>
        <v>611</v>
      </c>
    </row>
    <row r="41" spans="1:8" x14ac:dyDescent="0.2">
      <c r="A41" t="s">
        <v>85</v>
      </c>
      <c r="B41">
        <v>4224</v>
      </c>
      <c r="C41" t="s">
        <v>86</v>
      </c>
      <c r="D41">
        <v>138</v>
      </c>
      <c r="E41">
        <v>414</v>
      </c>
      <c r="F41">
        <v>3672</v>
      </c>
      <c r="G41">
        <v>86.931818181818102</v>
      </c>
      <c r="H41">
        <f t="shared" si="0"/>
        <v>3672</v>
      </c>
    </row>
    <row r="42" spans="1:8" x14ac:dyDescent="0.2">
      <c r="A42" t="s">
        <v>87</v>
      </c>
      <c r="B42">
        <v>25</v>
      </c>
      <c r="C42" t="s">
        <v>88</v>
      </c>
      <c r="D42">
        <v>0</v>
      </c>
      <c r="E42">
        <v>10</v>
      </c>
      <c r="F42">
        <v>15</v>
      </c>
      <c r="G42">
        <v>60</v>
      </c>
      <c r="H42">
        <f t="shared" si="0"/>
        <v>15</v>
      </c>
    </row>
    <row r="43" spans="1:8" x14ac:dyDescent="0.2">
      <c r="A43" t="s">
        <v>89</v>
      </c>
      <c r="B43">
        <v>407</v>
      </c>
      <c r="C43" t="s">
        <v>90</v>
      </c>
      <c r="D43">
        <v>9</v>
      </c>
      <c r="E43">
        <v>29</v>
      </c>
      <c r="F43">
        <v>369</v>
      </c>
      <c r="G43">
        <v>90.663390663390601</v>
      </c>
      <c r="H43">
        <f t="shared" si="0"/>
        <v>369</v>
      </c>
    </row>
    <row r="44" spans="1:8" x14ac:dyDescent="0.2">
      <c r="A44" t="s">
        <v>91</v>
      </c>
      <c r="B44">
        <v>816</v>
      </c>
      <c r="C44" t="s">
        <v>92</v>
      </c>
      <c r="D44">
        <v>10</v>
      </c>
      <c r="E44">
        <v>83</v>
      </c>
      <c r="F44">
        <v>723</v>
      </c>
      <c r="G44">
        <v>88.602941176470495</v>
      </c>
      <c r="H44">
        <f t="shared" si="0"/>
        <v>723</v>
      </c>
    </row>
    <row r="45" spans="1:8" x14ac:dyDescent="0.2">
      <c r="A45" t="s">
        <v>93</v>
      </c>
      <c r="B45">
        <v>1164</v>
      </c>
      <c r="C45" t="s">
        <v>94</v>
      </c>
      <c r="D45">
        <v>39</v>
      </c>
      <c r="E45">
        <v>82</v>
      </c>
      <c r="F45">
        <v>1043</v>
      </c>
      <c r="G45">
        <v>89.604810996563501</v>
      </c>
      <c r="H45">
        <f t="shared" si="0"/>
        <v>1043</v>
      </c>
    </row>
    <row r="46" spans="1:8" x14ac:dyDescent="0.2">
      <c r="A46" t="s">
        <v>95</v>
      </c>
      <c r="B46">
        <v>1102</v>
      </c>
      <c r="C46" t="s">
        <v>96</v>
      </c>
      <c r="D46">
        <v>44</v>
      </c>
      <c r="E46">
        <v>99</v>
      </c>
      <c r="F46">
        <v>959</v>
      </c>
      <c r="G46">
        <v>87.0235934664246</v>
      </c>
      <c r="H46">
        <f t="shared" si="0"/>
        <v>959</v>
      </c>
    </row>
    <row r="47" spans="1:8" x14ac:dyDescent="0.2">
      <c r="A47" t="s">
        <v>97</v>
      </c>
      <c r="B47">
        <v>625</v>
      </c>
      <c r="C47" t="s">
        <v>98</v>
      </c>
      <c r="D47">
        <v>23</v>
      </c>
      <c r="E47">
        <v>39</v>
      </c>
      <c r="F47">
        <v>563</v>
      </c>
      <c r="G47">
        <v>90.08</v>
      </c>
      <c r="H47">
        <f t="shared" si="0"/>
        <v>563</v>
      </c>
    </row>
    <row r="48" spans="1:8" x14ac:dyDescent="0.2">
      <c r="A48" t="s">
        <v>99</v>
      </c>
      <c r="B48">
        <v>41</v>
      </c>
      <c r="C48" t="s">
        <v>100</v>
      </c>
      <c r="D48">
        <v>0</v>
      </c>
      <c r="E48">
        <v>0</v>
      </c>
      <c r="F48">
        <v>41</v>
      </c>
      <c r="G48">
        <v>100</v>
      </c>
      <c r="H48">
        <f t="shared" si="0"/>
        <v>41</v>
      </c>
    </row>
    <row r="49" spans="1:8" x14ac:dyDescent="0.2">
      <c r="A49" t="s">
        <v>101</v>
      </c>
      <c r="B49">
        <v>378</v>
      </c>
      <c r="C49" t="s">
        <v>102</v>
      </c>
      <c r="D49">
        <v>9</v>
      </c>
      <c r="E49">
        <v>10</v>
      </c>
      <c r="F49">
        <v>359</v>
      </c>
      <c r="G49">
        <v>94.973544973544904</v>
      </c>
      <c r="H49">
        <f t="shared" si="0"/>
        <v>359</v>
      </c>
    </row>
    <row r="50" spans="1:8" x14ac:dyDescent="0.2">
      <c r="A50" t="s">
        <v>103</v>
      </c>
      <c r="B50">
        <v>156</v>
      </c>
      <c r="C50" t="s">
        <v>104</v>
      </c>
      <c r="D50">
        <v>8</v>
      </c>
      <c r="E50">
        <v>10</v>
      </c>
      <c r="F50">
        <v>138</v>
      </c>
      <c r="G50">
        <v>88.461538461538396</v>
      </c>
      <c r="H50">
        <f t="shared" si="0"/>
        <v>138</v>
      </c>
    </row>
    <row r="51" spans="1:8" x14ac:dyDescent="0.2">
      <c r="A51" t="s">
        <v>105</v>
      </c>
      <c r="B51">
        <v>236</v>
      </c>
      <c r="C51" t="s">
        <v>106</v>
      </c>
      <c r="D51">
        <v>64</v>
      </c>
      <c r="E51">
        <v>159</v>
      </c>
      <c r="F51">
        <v>13</v>
      </c>
      <c r="G51">
        <v>5.5084745762711798</v>
      </c>
      <c r="H51">
        <f t="shared" si="0"/>
        <v>13</v>
      </c>
    </row>
    <row r="52" spans="1:8" x14ac:dyDescent="0.2">
      <c r="A52" t="s">
        <v>107</v>
      </c>
      <c r="B52">
        <v>439</v>
      </c>
      <c r="C52" t="s">
        <v>108</v>
      </c>
      <c r="D52">
        <v>10</v>
      </c>
      <c r="E52">
        <v>20</v>
      </c>
      <c r="F52">
        <v>409</v>
      </c>
      <c r="G52">
        <v>93.166287015945301</v>
      </c>
      <c r="H52">
        <f t="shared" si="0"/>
        <v>409</v>
      </c>
    </row>
    <row r="53" spans="1:8" x14ac:dyDescent="0.2">
      <c r="A53" t="s">
        <v>109</v>
      </c>
      <c r="B53">
        <v>4976</v>
      </c>
      <c r="C53" t="s">
        <v>110</v>
      </c>
      <c r="D53">
        <v>99</v>
      </c>
      <c r="E53">
        <v>237</v>
      </c>
      <c r="F53">
        <v>4640</v>
      </c>
      <c r="G53">
        <v>93.247588424437296</v>
      </c>
      <c r="H53">
        <f t="shared" si="0"/>
        <v>4640</v>
      </c>
    </row>
    <row r="54" spans="1:8" x14ac:dyDescent="0.2">
      <c r="A54" t="s">
        <v>111</v>
      </c>
      <c r="B54">
        <v>332</v>
      </c>
      <c r="C54" t="s">
        <v>112</v>
      </c>
      <c r="D54">
        <v>2</v>
      </c>
      <c r="E54">
        <v>10</v>
      </c>
      <c r="F54">
        <v>320</v>
      </c>
      <c r="G54">
        <v>96.385542168674704</v>
      </c>
      <c r="H54">
        <f t="shared" si="0"/>
        <v>320</v>
      </c>
    </row>
    <row r="55" spans="1:8" x14ac:dyDescent="0.2">
      <c r="A55" t="s">
        <v>113</v>
      </c>
      <c r="B55">
        <v>348</v>
      </c>
      <c r="C55" t="s">
        <v>114</v>
      </c>
      <c r="D55">
        <v>8</v>
      </c>
      <c r="E55">
        <v>43</v>
      </c>
      <c r="F55">
        <v>297</v>
      </c>
      <c r="G55">
        <v>85.344827586206804</v>
      </c>
      <c r="H55">
        <f t="shared" si="0"/>
        <v>297</v>
      </c>
    </row>
    <row r="56" spans="1:8" x14ac:dyDescent="0.2">
      <c r="A56" t="s">
        <v>115</v>
      </c>
      <c r="B56">
        <v>494</v>
      </c>
      <c r="C56" t="s">
        <v>116</v>
      </c>
      <c r="D56">
        <v>43</v>
      </c>
      <c r="E56">
        <v>75</v>
      </c>
      <c r="F56">
        <v>376</v>
      </c>
      <c r="G56">
        <v>76.113360323886596</v>
      </c>
      <c r="H56">
        <f t="shared" si="0"/>
        <v>376</v>
      </c>
    </row>
    <row r="57" spans="1:8" x14ac:dyDescent="0.2">
      <c r="A57" t="s">
        <v>117</v>
      </c>
      <c r="B57">
        <v>72</v>
      </c>
      <c r="C57" t="s">
        <v>118</v>
      </c>
      <c r="D57">
        <v>19</v>
      </c>
      <c r="E57">
        <v>56</v>
      </c>
      <c r="F57">
        <v>-3</v>
      </c>
      <c r="G57">
        <v>-4.1666666666666599</v>
      </c>
      <c r="H57">
        <f t="shared" si="0"/>
        <v>-3</v>
      </c>
    </row>
    <row r="58" spans="1:8" x14ac:dyDescent="0.2">
      <c r="A58" t="s">
        <v>119</v>
      </c>
      <c r="B58">
        <v>34</v>
      </c>
      <c r="C58" t="s">
        <v>120</v>
      </c>
      <c r="D58">
        <v>10</v>
      </c>
      <c r="E58">
        <v>15</v>
      </c>
      <c r="F58">
        <v>9</v>
      </c>
      <c r="G58">
        <v>26.470588235294102</v>
      </c>
      <c r="H58">
        <f t="shared" si="0"/>
        <v>9</v>
      </c>
    </row>
    <row r="59" spans="1:8" x14ac:dyDescent="0.2">
      <c r="A59" t="s">
        <v>121</v>
      </c>
      <c r="B59">
        <v>103</v>
      </c>
      <c r="C59" t="s">
        <v>122</v>
      </c>
      <c r="D59">
        <v>20</v>
      </c>
      <c r="E59">
        <v>53</v>
      </c>
      <c r="F59">
        <v>30</v>
      </c>
      <c r="G59">
        <v>29.126213592233</v>
      </c>
      <c r="H59">
        <f t="shared" si="0"/>
        <v>30</v>
      </c>
    </row>
    <row r="60" spans="1:8" x14ac:dyDescent="0.2">
      <c r="A60" t="s">
        <v>123</v>
      </c>
      <c r="B60">
        <v>113</v>
      </c>
      <c r="C60" t="s">
        <v>124</v>
      </c>
      <c r="D60">
        <v>0</v>
      </c>
      <c r="E60">
        <v>0</v>
      </c>
      <c r="F60">
        <v>113</v>
      </c>
      <c r="G60">
        <v>100</v>
      </c>
      <c r="H60">
        <f t="shared" si="0"/>
        <v>113</v>
      </c>
    </row>
    <row r="61" spans="1:8" x14ac:dyDescent="0.2">
      <c r="A61" t="s">
        <v>125</v>
      </c>
      <c r="B61">
        <v>428</v>
      </c>
      <c r="C61" t="s">
        <v>126</v>
      </c>
      <c r="D61">
        <v>82</v>
      </c>
      <c r="E61">
        <v>198</v>
      </c>
      <c r="F61">
        <v>148</v>
      </c>
      <c r="G61">
        <v>34.5794392523364</v>
      </c>
      <c r="H61">
        <f t="shared" si="0"/>
        <v>148</v>
      </c>
    </row>
    <row r="62" spans="1:8" x14ac:dyDescent="0.2">
      <c r="A62" t="s">
        <v>127</v>
      </c>
      <c r="B62">
        <v>466</v>
      </c>
      <c r="C62" t="s">
        <v>128</v>
      </c>
      <c r="D62">
        <v>26</v>
      </c>
      <c r="E62">
        <v>65</v>
      </c>
      <c r="F62">
        <v>375</v>
      </c>
      <c r="G62">
        <v>80.472103004291796</v>
      </c>
      <c r="H62">
        <f t="shared" si="0"/>
        <v>375</v>
      </c>
    </row>
    <row r="63" spans="1:8" x14ac:dyDescent="0.2">
      <c r="A63" t="s">
        <v>129</v>
      </c>
      <c r="B63">
        <v>140</v>
      </c>
      <c r="C63" t="s">
        <v>130</v>
      </c>
      <c r="D63">
        <v>8</v>
      </c>
      <c r="E63">
        <v>24</v>
      </c>
      <c r="F63">
        <v>108</v>
      </c>
      <c r="G63">
        <v>77.142857142857096</v>
      </c>
      <c r="H63">
        <f t="shared" si="0"/>
        <v>108</v>
      </c>
    </row>
    <row r="64" spans="1:8" x14ac:dyDescent="0.2">
      <c r="A64" t="s">
        <v>131</v>
      </c>
      <c r="B64">
        <v>14021</v>
      </c>
      <c r="C64" t="s">
        <v>132</v>
      </c>
      <c r="D64">
        <v>311</v>
      </c>
      <c r="E64">
        <v>831</v>
      </c>
      <c r="F64">
        <v>12879</v>
      </c>
      <c r="G64">
        <v>91.855074531060495</v>
      </c>
      <c r="H64">
        <f t="shared" si="0"/>
        <v>12879</v>
      </c>
    </row>
    <row r="65" spans="1:8" x14ac:dyDescent="0.2">
      <c r="A65" t="s">
        <v>133</v>
      </c>
      <c r="B65">
        <v>465</v>
      </c>
      <c r="C65" t="s">
        <v>134</v>
      </c>
      <c r="D65">
        <v>25</v>
      </c>
      <c r="E65">
        <v>23</v>
      </c>
      <c r="F65">
        <v>417</v>
      </c>
      <c r="G65">
        <v>89.677419354838705</v>
      </c>
      <c r="H65">
        <f t="shared" si="0"/>
        <v>417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5"/>
  <sheetViews>
    <sheetView tabSelected="1" workbookViewId="0">
      <selection activeCell="C21" sqref="C21"/>
    </sheetView>
  </sheetViews>
  <sheetFormatPr baseColWidth="10" defaultRowHeight="16" x14ac:dyDescent="0.2"/>
  <cols>
    <col min="2" max="2" width="42.83203125" customWidth="1"/>
    <col min="3" max="3" width="52.33203125" customWidth="1"/>
    <col min="4" max="4" width="39" customWidth="1"/>
  </cols>
  <sheetData>
    <row r="1" spans="1:6" x14ac:dyDescent="0.2">
      <c r="A1" t="s">
        <v>2</v>
      </c>
      <c r="B1" t="s">
        <v>135</v>
      </c>
      <c r="C1" t="s">
        <v>136</v>
      </c>
      <c r="D1" t="s">
        <v>137</v>
      </c>
      <c r="E1" t="s">
        <v>138</v>
      </c>
      <c r="F1" t="s">
        <v>139</v>
      </c>
    </row>
    <row r="2" spans="1:6" x14ac:dyDescent="0.2">
      <c r="A2" t="s">
        <v>8</v>
      </c>
      <c r="B2">
        <v>19751</v>
      </c>
      <c r="C2">
        <v>732</v>
      </c>
      <c r="D2">
        <v>1710</v>
      </c>
      <c r="E2">
        <v>17309</v>
      </c>
      <c r="F2">
        <v>87.636069059794394</v>
      </c>
    </row>
    <row r="3" spans="1:6" x14ac:dyDescent="0.2">
      <c r="A3" t="s">
        <v>10</v>
      </c>
      <c r="B3">
        <v>478</v>
      </c>
      <c r="C3">
        <v>43</v>
      </c>
      <c r="D3">
        <v>100</v>
      </c>
      <c r="E3">
        <v>335</v>
      </c>
      <c r="F3">
        <v>70.0836820083682</v>
      </c>
    </row>
    <row r="4" spans="1:6" x14ac:dyDescent="0.2">
      <c r="A4" t="s">
        <v>12</v>
      </c>
      <c r="B4">
        <v>22484</v>
      </c>
      <c r="C4">
        <v>1254</v>
      </c>
      <c r="D4">
        <v>2880</v>
      </c>
      <c r="E4">
        <v>18350</v>
      </c>
      <c r="F4">
        <v>81.613591887564397</v>
      </c>
    </row>
    <row r="5" spans="1:6" x14ac:dyDescent="0.2">
      <c r="A5" t="s">
        <v>14</v>
      </c>
      <c r="B5">
        <v>275</v>
      </c>
      <c r="C5">
        <v>9</v>
      </c>
      <c r="D5">
        <v>24</v>
      </c>
      <c r="E5">
        <v>242</v>
      </c>
      <c r="F5">
        <v>88</v>
      </c>
    </row>
    <row r="6" spans="1:6" x14ac:dyDescent="0.2">
      <c r="A6" t="s">
        <v>16</v>
      </c>
      <c r="B6">
        <v>111</v>
      </c>
      <c r="C6">
        <v>2</v>
      </c>
      <c r="D6">
        <v>3</v>
      </c>
      <c r="E6">
        <v>106</v>
      </c>
      <c r="F6">
        <v>95.495495495495504</v>
      </c>
    </row>
    <row r="7" spans="1:6" x14ac:dyDescent="0.2">
      <c r="A7" t="s">
        <v>18</v>
      </c>
      <c r="B7">
        <v>98</v>
      </c>
      <c r="C7">
        <v>10</v>
      </c>
      <c r="D7">
        <v>10</v>
      </c>
      <c r="E7">
        <v>78</v>
      </c>
      <c r="F7">
        <v>79.5918367346938</v>
      </c>
    </row>
    <row r="8" spans="1:6" x14ac:dyDescent="0.2">
      <c r="A8" t="s">
        <v>20</v>
      </c>
      <c r="B8">
        <v>7232</v>
      </c>
      <c r="C8">
        <v>608</v>
      </c>
      <c r="D8">
        <v>1528</v>
      </c>
      <c r="E8">
        <v>5096</v>
      </c>
      <c r="F8">
        <v>70.464601769911496</v>
      </c>
    </row>
    <row r="9" spans="1:6" x14ac:dyDescent="0.2">
      <c r="A9" t="s">
        <v>22</v>
      </c>
      <c r="B9">
        <v>1994</v>
      </c>
      <c r="C9">
        <v>191</v>
      </c>
      <c r="D9">
        <v>453</v>
      </c>
      <c r="E9">
        <v>1350</v>
      </c>
      <c r="F9">
        <v>67.703109327983896</v>
      </c>
    </row>
    <row r="10" spans="1:6" x14ac:dyDescent="0.2">
      <c r="A10" t="s">
        <v>24</v>
      </c>
      <c r="B10">
        <v>330</v>
      </c>
      <c r="C10">
        <v>0</v>
      </c>
      <c r="D10">
        <v>88</v>
      </c>
      <c r="E10">
        <v>242</v>
      </c>
      <c r="F10">
        <v>73.3333333333333</v>
      </c>
    </row>
    <row r="11" spans="1:6" x14ac:dyDescent="0.2">
      <c r="A11" t="s">
        <v>26</v>
      </c>
      <c r="B11">
        <v>59</v>
      </c>
      <c r="C11">
        <v>5</v>
      </c>
      <c r="D11">
        <v>5</v>
      </c>
      <c r="E11">
        <v>49</v>
      </c>
      <c r="F11">
        <v>83.0508474576271</v>
      </c>
    </row>
    <row r="12" spans="1:6" x14ac:dyDescent="0.2">
      <c r="A12" t="s">
        <v>28</v>
      </c>
      <c r="B12">
        <v>141</v>
      </c>
      <c r="C12">
        <v>10</v>
      </c>
      <c r="D12">
        <v>29</v>
      </c>
      <c r="E12">
        <v>102</v>
      </c>
      <c r="F12">
        <v>72.340425531914903</v>
      </c>
    </row>
    <row r="13" spans="1:6" x14ac:dyDescent="0.2">
      <c r="A13" t="s">
        <v>30</v>
      </c>
      <c r="B13">
        <v>234</v>
      </c>
      <c r="C13">
        <v>0</v>
      </c>
      <c r="D13">
        <v>0</v>
      </c>
      <c r="E13">
        <v>234</v>
      </c>
      <c r="F13">
        <v>100</v>
      </c>
    </row>
    <row r="14" spans="1:6" x14ac:dyDescent="0.2">
      <c r="A14" t="s">
        <v>32</v>
      </c>
      <c r="B14">
        <v>74</v>
      </c>
      <c r="C14">
        <v>4</v>
      </c>
      <c r="D14">
        <v>18</v>
      </c>
      <c r="E14">
        <v>52</v>
      </c>
      <c r="F14">
        <v>70.270270270270203</v>
      </c>
    </row>
    <row r="15" spans="1:6" x14ac:dyDescent="0.2">
      <c r="A15" t="s">
        <v>34</v>
      </c>
      <c r="B15">
        <v>91</v>
      </c>
      <c r="C15">
        <v>8</v>
      </c>
      <c r="D15">
        <v>10</v>
      </c>
      <c r="E15">
        <v>73</v>
      </c>
      <c r="F15">
        <v>80.219780219780205</v>
      </c>
    </row>
    <row r="16" spans="1:6" x14ac:dyDescent="0.2">
      <c r="A16" t="s">
        <v>36</v>
      </c>
      <c r="B16">
        <v>60</v>
      </c>
      <c r="C16">
        <v>5</v>
      </c>
      <c r="D16">
        <v>8</v>
      </c>
      <c r="E16">
        <v>47</v>
      </c>
      <c r="F16">
        <v>78.3333333333333</v>
      </c>
    </row>
    <row r="17" spans="1:6" x14ac:dyDescent="0.2">
      <c r="A17" t="s">
        <v>38</v>
      </c>
      <c r="B17">
        <v>791</v>
      </c>
      <c r="C17">
        <v>7</v>
      </c>
      <c r="D17">
        <v>22</v>
      </c>
      <c r="E17">
        <v>762</v>
      </c>
      <c r="F17">
        <v>96.333754740834394</v>
      </c>
    </row>
    <row r="18" spans="1:6" x14ac:dyDescent="0.2">
      <c r="A18" t="s">
        <v>40</v>
      </c>
      <c r="B18">
        <v>22888</v>
      </c>
      <c r="C18">
        <v>1315</v>
      </c>
      <c r="D18">
        <v>3418</v>
      </c>
      <c r="E18">
        <v>18155</v>
      </c>
      <c r="F18">
        <v>79.321041593848307</v>
      </c>
    </row>
    <row r="19" spans="1:6" x14ac:dyDescent="0.2">
      <c r="A19" t="s">
        <v>42</v>
      </c>
      <c r="B19">
        <v>97</v>
      </c>
      <c r="C19">
        <v>5</v>
      </c>
      <c r="D19">
        <v>7</v>
      </c>
      <c r="E19">
        <v>85</v>
      </c>
      <c r="F19">
        <v>87.628865979381402</v>
      </c>
    </row>
    <row r="20" spans="1:6" x14ac:dyDescent="0.2">
      <c r="A20" t="s">
        <v>44</v>
      </c>
      <c r="B20">
        <v>12180</v>
      </c>
      <c r="C20">
        <v>849</v>
      </c>
      <c r="D20">
        <v>2344</v>
      </c>
      <c r="E20">
        <v>8987</v>
      </c>
      <c r="F20">
        <v>73.784893267651796</v>
      </c>
    </row>
    <row r="21" spans="1:6" x14ac:dyDescent="0.2">
      <c r="A21" t="s">
        <v>46</v>
      </c>
      <c r="B21">
        <v>1325</v>
      </c>
      <c r="C21">
        <v>188</v>
      </c>
      <c r="D21">
        <v>389</v>
      </c>
      <c r="E21">
        <v>748</v>
      </c>
      <c r="F21">
        <v>56.452830188679201</v>
      </c>
    </row>
    <row r="22" spans="1:6" x14ac:dyDescent="0.2">
      <c r="A22" t="s">
        <v>48</v>
      </c>
      <c r="B22">
        <v>26963</v>
      </c>
      <c r="C22">
        <v>998</v>
      </c>
      <c r="D22">
        <v>2320</v>
      </c>
      <c r="E22">
        <v>23645</v>
      </c>
      <c r="F22">
        <v>87.694247672736694</v>
      </c>
    </row>
    <row r="23" spans="1:6" x14ac:dyDescent="0.2">
      <c r="A23" t="s">
        <v>50</v>
      </c>
      <c r="B23">
        <v>767</v>
      </c>
      <c r="C23">
        <v>10</v>
      </c>
      <c r="D23">
        <v>30</v>
      </c>
      <c r="E23">
        <v>727</v>
      </c>
      <c r="F23">
        <v>94.784876140808294</v>
      </c>
    </row>
    <row r="24" spans="1:6" x14ac:dyDescent="0.2">
      <c r="A24" t="s">
        <v>52</v>
      </c>
      <c r="B24">
        <v>1215</v>
      </c>
      <c r="C24">
        <v>40</v>
      </c>
      <c r="D24">
        <v>56</v>
      </c>
      <c r="E24">
        <v>1119</v>
      </c>
      <c r="F24">
        <v>92.098765432098702</v>
      </c>
    </row>
    <row r="25" spans="1:6" x14ac:dyDescent="0.2">
      <c r="A25" t="s">
        <v>54</v>
      </c>
      <c r="B25">
        <v>2227</v>
      </c>
      <c r="C25">
        <v>59</v>
      </c>
      <c r="D25">
        <v>204</v>
      </c>
      <c r="E25">
        <v>1964</v>
      </c>
      <c r="F25">
        <v>88.190390660080794</v>
      </c>
    </row>
    <row r="26" spans="1:6" x14ac:dyDescent="0.2">
      <c r="A26" t="s">
        <v>56</v>
      </c>
      <c r="B26">
        <v>246</v>
      </c>
      <c r="C26">
        <v>10</v>
      </c>
      <c r="D26">
        <v>20</v>
      </c>
      <c r="E26">
        <v>216</v>
      </c>
      <c r="F26">
        <v>87.804878048780495</v>
      </c>
    </row>
    <row r="27" spans="1:6" x14ac:dyDescent="0.2">
      <c r="A27" t="s">
        <v>58</v>
      </c>
      <c r="B27">
        <v>371</v>
      </c>
      <c r="C27">
        <v>35</v>
      </c>
      <c r="D27">
        <v>46</v>
      </c>
      <c r="E27">
        <v>290</v>
      </c>
      <c r="F27">
        <v>78.167115902964895</v>
      </c>
    </row>
    <row r="28" spans="1:6" x14ac:dyDescent="0.2">
      <c r="A28" t="s">
        <v>60</v>
      </c>
      <c r="B28">
        <v>289</v>
      </c>
      <c r="C28">
        <v>29</v>
      </c>
      <c r="D28">
        <v>61</v>
      </c>
      <c r="E28">
        <v>199</v>
      </c>
      <c r="F28">
        <v>68.858131487889196</v>
      </c>
    </row>
    <row r="29" spans="1:6" x14ac:dyDescent="0.2">
      <c r="A29" t="s">
        <v>62</v>
      </c>
      <c r="B29">
        <v>23</v>
      </c>
      <c r="C29">
        <v>0</v>
      </c>
      <c r="D29">
        <v>7</v>
      </c>
      <c r="E29">
        <v>16</v>
      </c>
      <c r="F29">
        <v>69.565217391304301</v>
      </c>
    </row>
    <row r="30" spans="1:6" x14ac:dyDescent="0.2">
      <c r="A30" t="s">
        <v>64</v>
      </c>
      <c r="B30">
        <v>178</v>
      </c>
      <c r="C30">
        <v>5</v>
      </c>
      <c r="D30">
        <v>8</v>
      </c>
      <c r="E30">
        <v>165</v>
      </c>
      <c r="F30">
        <v>92.696629213483106</v>
      </c>
    </row>
    <row r="31" spans="1:6" x14ac:dyDescent="0.2">
      <c r="A31" t="s">
        <v>66</v>
      </c>
      <c r="B31">
        <v>11</v>
      </c>
      <c r="C31">
        <v>0</v>
      </c>
      <c r="D31">
        <v>0</v>
      </c>
      <c r="E31">
        <v>11</v>
      </c>
      <c r="F31">
        <v>100</v>
      </c>
    </row>
    <row r="32" spans="1:6" x14ac:dyDescent="0.2">
      <c r="A32" t="s">
        <v>68</v>
      </c>
      <c r="B32">
        <v>16519</v>
      </c>
      <c r="C32">
        <v>1347</v>
      </c>
      <c r="D32">
        <v>3431</v>
      </c>
      <c r="E32">
        <v>11741</v>
      </c>
      <c r="F32">
        <v>71.075730976451297</v>
      </c>
    </row>
    <row r="33" spans="1:6" x14ac:dyDescent="0.2">
      <c r="A33" t="s">
        <v>70</v>
      </c>
      <c r="B33">
        <v>30</v>
      </c>
      <c r="C33">
        <v>0</v>
      </c>
      <c r="D33">
        <v>0</v>
      </c>
      <c r="E33">
        <v>30</v>
      </c>
      <c r="F33">
        <v>100</v>
      </c>
    </row>
    <row r="34" spans="1:6" x14ac:dyDescent="0.2">
      <c r="A34" t="s">
        <v>72</v>
      </c>
      <c r="B34">
        <v>308</v>
      </c>
      <c r="C34">
        <v>9</v>
      </c>
      <c r="D34">
        <v>9</v>
      </c>
      <c r="E34">
        <v>290</v>
      </c>
      <c r="F34">
        <v>94.155844155844093</v>
      </c>
    </row>
    <row r="35" spans="1:6" x14ac:dyDescent="0.2">
      <c r="A35" t="s">
        <v>74</v>
      </c>
      <c r="B35">
        <v>1312</v>
      </c>
      <c r="C35">
        <v>57</v>
      </c>
      <c r="D35">
        <v>216</v>
      </c>
      <c r="E35">
        <v>1039</v>
      </c>
      <c r="F35">
        <v>79.192073170731703</v>
      </c>
    </row>
    <row r="36" spans="1:6" x14ac:dyDescent="0.2">
      <c r="A36" t="s">
        <v>76</v>
      </c>
      <c r="B36">
        <v>242</v>
      </c>
      <c r="C36">
        <v>0</v>
      </c>
      <c r="D36">
        <v>10</v>
      </c>
      <c r="E36">
        <v>232</v>
      </c>
      <c r="F36">
        <v>95.867768595041298</v>
      </c>
    </row>
    <row r="37" spans="1:6" x14ac:dyDescent="0.2">
      <c r="A37" t="s">
        <v>78</v>
      </c>
      <c r="B37">
        <v>8885</v>
      </c>
      <c r="C37">
        <v>613</v>
      </c>
      <c r="D37">
        <v>1481</v>
      </c>
      <c r="E37">
        <v>6791</v>
      </c>
      <c r="F37">
        <v>76.432189082723696</v>
      </c>
    </row>
    <row r="38" spans="1:6" x14ac:dyDescent="0.2">
      <c r="A38" t="s">
        <v>80</v>
      </c>
      <c r="B38">
        <v>312</v>
      </c>
      <c r="C38">
        <v>0</v>
      </c>
      <c r="D38">
        <v>24</v>
      </c>
      <c r="E38">
        <v>288</v>
      </c>
      <c r="F38">
        <v>92.307692307692307</v>
      </c>
    </row>
    <row r="39" spans="1:6" x14ac:dyDescent="0.2">
      <c r="A39" t="s">
        <v>82</v>
      </c>
      <c r="B39">
        <v>175</v>
      </c>
      <c r="C39">
        <v>3</v>
      </c>
      <c r="D39">
        <v>2</v>
      </c>
      <c r="E39">
        <v>170</v>
      </c>
      <c r="F39">
        <v>97.142857142857096</v>
      </c>
    </row>
    <row r="40" spans="1:6" x14ac:dyDescent="0.2">
      <c r="A40" t="s">
        <v>84</v>
      </c>
      <c r="B40">
        <v>648</v>
      </c>
      <c r="C40">
        <v>8</v>
      </c>
      <c r="D40">
        <v>29</v>
      </c>
      <c r="E40">
        <v>611</v>
      </c>
      <c r="F40">
        <v>94.290123456790099</v>
      </c>
    </row>
    <row r="41" spans="1:6" x14ac:dyDescent="0.2">
      <c r="A41" t="s">
        <v>86</v>
      </c>
      <c r="B41">
        <v>4224</v>
      </c>
      <c r="C41">
        <v>138</v>
      </c>
      <c r="D41">
        <v>414</v>
      </c>
      <c r="E41">
        <v>3672</v>
      </c>
      <c r="F41">
        <v>86.931818181818102</v>
      </c>
    </row>
    <row r="42" spans="1:6" x14ac:dyDescent="0.2">
      <c r="A42" t="s">
        <v>88</v>
      </c>
      <c r="B42">
        <v>25</v>
      </c>
      <c r="C42">
        <v>0</v>
      </c>
      <c r="D42">
        <v>10</v>
      </c>
      <c r="E42">
        <v>15</v>
      </c>
      <c r="F42">
        <v>60</v>
      </c>
    </row>
    <row r="43" spans="1:6" x14ac:dyDescent="0.2">
      <c r="A43" t="s">
        <v>90</v>
      </c>
      <c r="B43">
        <v>407</v>
      </c>
      <c r="C43">
        <v>9</v>
      </c>
      <c r="D43">
        <v>29</v>
      </c>
      <c r="E43">
        <v>369</v>
      </c>
      <c r="F43">
        <v>90.663390663390601</v>
      </c>
    </row>
    <row r="44" spans="1:6" x14ac:dyDescent="0.2">
      <c r="A44" t="s">
        <v>92</v>
      </c>
      <c r="B44">
        <v>816</v>
      </c>
      <c r="C44">
        <v>10</v>
      </c>
      <c r="D44">
        <v>83</v>
      </c>
      <c r="E44">
        <v>723</v>
      </c>
      <c r="F44">
        <v>88.602941176470495</v>
      </c>
    </row>
    <row r="45" spans="1:6" x14ac:dyDescent="0.2">
      <c r="A45" t="s">
        <v>94</v>
      </c>
      <c r="B45">
        <v>1164</v>
      </c>
      <c r="C45">
        <v>39</v>
      </c>
      <c r="D45">
        <v>82</v>
      </c>
      <c r="E45">
        <v>1043</v>
      </c>
      <c r="F45">
        <v>89.604810996563501</v>
      </c>
    </row>
    <row r="46" spans="1:6" x14ac:dyDescent="0.2">
      <c r="A46" t="s">
        <v>96</v>
      </c>
      <c r="B46">
        <v>1102</v>
      </c>
      <c r="C46">
        <v>44</v>
      </c>
      <c r="D46">
        <v>99</v>
      </c>
      <c r="E46">
        <v>959</v>
      </c>
      <c r="F46">
        <v>87.0235934664246</v>
      </c>
    </row>
    <row r="47" spans="1:6" x14ac:dyDescent="0.2">
      <c r="A47" t="s">
        <v>98</v>
      </c>
      <c r="B47">
        <v>625</v>
      </c>
      <c r="C47">
        <v>23</v>
      </c>
      <c r="D47">
        <v>39</v>
      </c>
      <c r="E47">
        <v>563</v>
      </c>
      <c r="F47">
        <v>90.08</v>
      </c>
    </row>
    <row r="48" spans="1:6" x14ac:dyDescent="0.2">
      <c r="A48" t="s">
        <v>100</v>
      </c>
      <c r="B48">
        <v>41</v>
      </c>
      <c r="C48">
        <v>0</v>
      </c>
      <c r="D48">
        <v>0</v>
      </c>
      <c r="E48">
        <v>41</v>
      </c>
      <c r="F48">
        <v>100</v>
      </c>
    </row>
    <row r="49" spans="1:6" x14ac:dyDescent="0.2">
      <c r="A49" t="s">
        <v>102</v>
      </c>
      <c r="B49">
        <v>378</v>
      </c>
      <c r="C49">
        <v>9</v>
      </c>
      <c r="D49">
        <v>10</v>
      </c>
      <c r="E49">
        <v>359</v>
      </c>
      <c r="F49">
        <v>94.973544973544904</v>
      </c>
    </row>
    <row r="50" spans="1:6" x14ac:dyDescent="0.2">
      <c r="A50" t="s">
        <v>104</v>
      </c>
      <c r="B50">
        <v>156</v>
      </c>
      <c r="C50">
        <v>8</v>
      </c>
      <c r="D50">
        <v>10</v>
      </c>
      <c r="E50">
        <v>138</v>
      </c>
      <c r="F50">
        <v>88.461538461538396</v>
      </c>
    </row>
    <row r="51" spans="1:6" x14ac:dyDescent="0.2">
      <c r="A51" t="s">
        <v>106</v>
      </c>
      <c r="B51">
        <v>236</v>
      </c>
      <c r="C51">
        <v>64</v>
      </c>
      <c r="D51">
        <v>159</v>
      </c>
      <c r="E51">
        <v>13</v>
      </c>
      <c r="F51">
        <v>5.5084745762711798</v>
      </c>
    </row>
    <row r="52" spans="1:6" x14ac:dyDescent="0.2">
      <c r="A52" t="s">
        <v>108</v>
      </c>
      <c r="B52">
        <v>439</v>
      </c>
      <c r="C52">
        <v>10</v>
      </c>
      <c r="D52">
        <v>20</v>
      </c>
      <c r="E52">
        <v>409</v>
      </c>
      <c r="F52">
        <v>93.166287015945301</v>
      </c>
    </row>
    <row r="53" spans="1:6" x14ac:dyDescent="0.2">
      <c r="A53" t="s">
        <v>110</v>
      </c>
      <c r="B53">
        <v>4976</v>
      </c>
      <c r="C53">
        <v>99</v>
      </c>
      <c r="D53">
        <v>237</v>
      </c>
      <c r="E53">
        <v>4640</v>
      </c>
      <c r="F53">
        <v>93.247588424437296</v>
      </c>
    </row>
    <row r="54" spans="1:6" x14ac:dyDescent="0.2">
      <c r="A54" t="s">
        <v>112</v>
      </c>
      <c r="B54">
        <v>332</v>
      </c>
      <c r="C54">
        <v>2</v>
      </c>
      <c r="D54">
        <v>10</v>
      </c>
      <c r="E54">
        <v>320</v>
      </c>
      <c r="F54">
        <v>96.385542168674704</v>
      </c>
    </row>
    <row r="55" spans="1:6" x14ac:dyDescent="0.2">
      <c r="A55" t="s">
        <v>114</v>
      </c>
      <c r="B55">
        <v>348</v>
      </c>
      <c r="C55">
        <v>8</v>
      </c>
      <c r="D55">
        <v>43</v>
      </c>
      <c r="E55">
        <v>297</v>
      </c>
      <c r="F55">
        <v>85.344827586206804</v>
      </c>
    </row>
    <row r="56" spans="1:6" x14ac:dyDescent="0.2">
      <c r="A56" t="s">
        <v>116</v>
      </c>
      <c r="B56">
        <v>494</v>
      </c>
      <c r="C56">
        <v>43</v>
      </c>
      <c r="D56">
        <v>75</v>
      </c>
      <c r="E56">
        <v>376</v>
      </c>
      <c r="F56">
        <v>76.113360323886596</v>
      </c>
    </row>
    <row r="57" spans="1:6" x14ac:dyDescent="0.2">
      <c r="A57" t="s">
        <v>118</v>
      </c>
      <c r="B57">
        <v>72</v>
      </c>
      <c r="C57">
        <v>19</v>
      </c>
      <c r="D57">
        <v>56</v>
      </c>
      <c r="E57">
        <v>-3</v>
      </c>
      <c r="F57">
        <v>-4.1666666666666599</v>
      </c>
    </row>
    <row r="58" spans="1:6" x14ac:dyDescent="0.2">
      <c r="A58" t="s">
        <v>120</v>
      </c>
      <c r="B58">
        <v>34</v>
      </c>
      <c r="C58">
        <v>10</v>
      </c>
      <c r="D58">
        <v>15</v>
      </c>
      <c r="E58">
        <v>9</v>
      </c>
      <c r="F58">
        <v>26.470588235294102</v>
      </c>
    </row>
    <row r="59" spans="1:6" x14ac:dyDescent="0.2">
      <c r="A59" t="s">
        <v>122</v>
      </c>
      <c r="B59">
        <v>103</v>
      </c>
      <c r="C59">
        <v>20</v>
      </c>
      <c r="D59">
        <v>53</v>
      </c>
      <c r="E59">
        <v>30</v>
      </c>
      <c r="F59">
        <v>29.126213592233</v>
      </c>
    </row>
    <row r="60" spans="1:6" x14ac:dyDescent="0.2">
      <c r="A60" t="s">
        <v>124</v>
      </c>
      <c r="B60">
        <v>113</v>
      </c>
      <c r="C60">
        <v>0</v>
      </c>
      <c r="D60">
        <v>0</v>
      </c>
      <c r="E60">
        <v>113</v>
      </c>
      <c r="F60">
        <v>100</v>
      </c>
    </row>
    <row r="61" spans="1:6" x14ac:dyDescent="0.2">
      <c r="A61" t="s">
        <v>126</v>
      </c>
      <c r="B61">
        <v>428</v>
      </c>
      <c r="C61">
        <v>82</v>
      </c>
      <c r="D61">
        <v>198</v>
      </c>
      <c r="E61">
        <v>148</v>
      </c>
      <c r="F61">
        <v>34.5794392523364</v>
      </c>
    </row>
    <row r="62" spans="1:6" x14ac:dyDescent="0.2">
      <c r="A62" t="s">
        <v>128</v>
      </c>
      <c r="B62">
        <v>466</v>
      </c>
      <c r="C62">
        <v>26</v>
      </c>
      <c r="D62">
        <v>65</v>
      </c>
      <c r="E62">
        <v>375</v>
      </c>
      <c r="F62">
        <v>80.472103004291796</v>
      </c>
    </row>
    <row r="63" spans="1:6" x14ac:dyDescent="0.2">
      <c r="A63" t="s">
        <v>130</v>
      </c>
      <c r="B63">
        <v>140</v>
      </c>
      <c r="C63">
        <v>8</v>
      </c>
      <c r="D63">
        <v>24</v>
      </c>
      <c r="E63">
        <v>108</v>
      </c>
      <c r="F63">
        <v>77.142857142857096</v>
      </c>
    </row>
    <row r="64" spans="1:6" x14ac:dyDescent="0.2">
      <c r="A64" t="s">
        <v>132</v>
      </c>
      <c r="B64">
        <v>14021</v>
      </c>
      <c r="C64">
        <v>311</v>
      </c>
      <c r="D64">
        <v>831</v>
      </c>
      <c r="E64">
        <v>12879</v>
      </c>
      <c r="F64">
        <v>91.855074531060495</v>
      </c>
    </row>
    <row r="65" spans="1:6" x14ac:dyDescent="0.2">
      <c r="A65" t="s">
        <v>134</v>
      </c>
      <c r="B65">
        <v>465</v>
      </c>
      <c r="C65">
        <v>25</v>
      </c>
      <c r="D65">
        <v>23</v>
      </c>
      <c r="E65">
        <v>417</v>
      </c>
      <c r="F65">
        <v>89.677419354838705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sep_columns_under_three_infant_</vt:lpstr>
      <vt:lpstr>gfx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Zack Newman</dc:creator>
  <cp:lastModifiedBy>Zack Newman</cp:lastModifiedBy>
  <dcterms:created xsi:type="dcterms:W3CDTF">2026-03-05T00:06:52Z</dcterms:created>
  <dcterms:modified xsi:type="dcterms:W3CDTF">2026-03-05T00:32:54Z</dcterms:modified>
</cp:coreProperties>
</file>