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knewman/Documents/ZackNewsMan, LLC/Colorado Sun/Child care/Data - child care/"/>
    </mc:Choice>
  </mc:AlternateContent>
  <xr:revisionPtr revIDLastSave="0" documentId="13_ncr:40009_{69027976-4ED4-1743-ACFD-A045EB8B3000}" xr6:coauthVersionLast="47" xr6:coauthVersionMax="47" xr10:uidLastSave="{00000000-0000-0000-0000-000000000000}"/>
  <bookViews>
    <workbookView xWindow="180" yWindow="840" windowWidth="28960" windowHeight="17420"/>
  </bookViews>
  <sheets>
    <sheet name="spot_kids_g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2" i="1"/>
</calcChain>
</file>

<file path=xl/sharedStrings.xml><?xml version="1.0" encoding="utf-8"?>
<sst xmlns="http://schemas.openxmlformats.org/spreadsheetml/2006/main" count="134" uniqueCount="134">
  <si>
    <t>NAME</t>
  </si>
  <si>
    <t>sum_kids_eight_under</t>
  </si>
  <si>
    <t>county</t>
  </si>
  <si>
    <t>sum_pre_k_total_spots</t>
  </si>
  <si>
    <t>spot_kids_gap</t>
  </si>
  <si>
    <t>Adams County, Colorado</t>
  </si>
  <si>
    <t>Adams</t>
  </si>
  <si>
    <t>Alamosa County, Colorado</t>
  </si>
  <si>
    <t>Alamosa</t>
  </si>
  <si>
    <t>Arapahoe County, Colorado</t>
  </si>
  <si>
    <t>Arapahoe</t>
  </si>
  <si>
    <t>Archuleta County, Colorado</t>
  </si>
  <si>
    <t>Archuleta</t>
  </si>
  <si>
    <t>Baca County, Colorado</t>
  </si>
  <si>
    <t>Baca</t>
  </si>
  <si>
    <t>Bent County, Colorado</t>
  </si>
  <si>
    <t>Bent</t>
  </si>
  <si>
    <t>Boulder County, Colorado</t>
  </si>
  <si>
    <t>Boulder</t>
  </si>
  <si>
    <t>Broomfield County, Colorado</t>
  </si>
  <si>
    <t>Broomfield</t>
  </si>
  <si>
    <t>Chaffee County, Colorado</t>
  </si>
  <si>
    <t>Chaffee</t>
  </si>
  <si>
    <t>Cheyenne County, Colorado</t>
  </si>
  <si>
    <t>Cheyenne</t>
  </si>
  <si>
    <t>Clear Creek County, Colorado</t>
  </si>
  <si>
    <t>Clear Creek</t>
  </si>
  <si>
    <t>Conejos County, Colorado</t>
  </si>
  <si>
    <t>Conejos</t>
  </si>
  <si>
    <t>Costilla County, Colorado</t>
  </si>
  <si>
    <t>Costilla</t>
  </si>
  <si>
    <t>Crowley County, Colorado</t>
  </si>
  <si>
    <t>Crowley</t>
  </si>
  <si>
    <t>Custer County, Colorado</t>
  </si>
  <si>
    <t>Custer</t>
  </si>
  <si>
    <t>Delta County, Colorado</t>
  </si>
  <si>
    <t>Delta</t>
  </si>
  <si>
    <t>Denver County, Colorado</t>
  </si>
  <si>
    <t>Denver</t>
  </si>
  <si>
    <t>Dolores County, Colorado</t>
  </si>
  <si>
    <t>Dolores</t>
  </si>
  <si>
    <t>Douglas County, Colorado</t>
  </si>
  <si>
    <t>Douglas</t>
  </si>
  <si>
    <t>Eagle County, Colorado</t>
  </si>
  <si>
    <t>Eagle</t>
  </si>
  <si>
    <t>El Paso County, Colorado</t>
  </si>
  <si>
    <t>El Paso</t>
  </si>
  <si>
    <t>Elbert County, Colorado</t>
  </si>
  <si>
    <t>Elbert</t>
  </si>
  <si>
    <t>Fremont County, Colorado</t>
  </si>
  <si>
    <t>Fremont</t>
  </si>
  <si>
    <t>Garfield County, Colorado</t>
  </si>
  <si>
    <t>Garfield</t>
  </si>
  <si>
    <t>Gilpin County, Colorado</t>
  </si>
  <si>
    <t>Gilpin</t>
  </si>
  <si>
    <t>Grand County, Colorado</t>
  </si>
  <si>
    <t>Grand</t>
  </si>
  <si>
    <t>Gunnison County, Colorado</t>
  </si>
  <si>
    <t>Gunnison</t>
  </si>
  <si>
    <t>Hinsdale County, Colorado</t>
  </si>
  <si>
    <t>Hinsdale</t>
  </si>
  <si>
    <t>Huerfano County, Colorado</t>
  </si>
  <si>
    <t>Huerfano</t>
  </si>
  <si>
    <t>Jackson County, Colorado</t>
  </si>
  <si>
    <t>Jackson</t>
  </si>
  <si>
    <t>Jefferson County, Colorado</t>
  </si>
  <si>
    <t>Jefferson</t>
  </si>
  <si>
    <t>Kiowa County, Colorado</t>
  </si>
  <si>
    <t>Kiowa</t>
  </si>
  <si>
    <t>Kit Carson County, Colorado</t>
  </si>
  <si>
    <t>Kit Carson</t>
  </si>
  <si>
    <t>La Plata County, Colorado</t>
  </si>
  <si>
    <t>La Plata</t>
  </si>
  <si>
    <t>Lake County, Colorado</t>
  </si>
  <si>
    <t>Lake</t>
  </si>
  <si>
    <t>Larimer County, Colorado</t>
  </si>
  <si>
    <t>Larimer</t>
  </si>
  <si>
    <t>Las Animas County, Colorado</t>
  </si>
  <si>
    <t>Las Animas</t>
  </si>
  <si>
    <t>Lincoln County, Colorado</t>
  </si>
  <si>
    <t>Lincoln</t>
  </si>
  <si>
    <t>Logan County, Colorado</t>
  </si>
  <si>
    <t>Logan</t>
  </si>
  <si>
    <t>Mesa County, Colorado</t>
  </si>
  <si>
    <t>Mesa</t>
  </si>
  <si>
    <t>Mineral County, Colorado</t>
  </si>
  <si>
    <t>Mineral</t>
  </si>
  <si>
    <t>Moffat County, Colorado</t>
  </si>
  <si>
    <t>Moffat</t>
  </si>
  <si>
    <t>Montezuma County, Colorado</t>
  </si>
  <si>
    <t>Montezuma</t>
  </si>
  <si>
    <t>Montrose County, Colorado</t>
  </si>
  <si>
    <t>Montrose</t>
  </si>
  <si>
    <t>Morgan County, Colorado</t>
  </si>
  <si>
    <t>Morgan</t>
  </si>
  <si>
    <t>Otero County, Colorado</t>
  </si>
  <si>
    <t>Otero</t>
  </si>
  <si>
    <t>Ouray County, Colorado</t>
  </si>
  <si>
    <t>Ouray</t>
  </si>
  <si>
    <t>Park County, Colorado</t>
  </si>
  <si>
    <t>Park</t>
  </si>
  <si>
    <t>Phillips County, Colorado</t>
  </si>
  <si>
    <t>Phillips</t>
  </si>
  <si>
    <t>Pitkin County, Colorado</t>
  </si>
  <si>
    <t>Pitkin</t>
  </si>
  <si>
    <t>Prowers County, Colorado</t>
  </si>
  <si>
    <t>Prowers</t>
  </si>
  <si>
    <t>Pueblo County, Colorado</t>
  </si>
  <si>
    <t>Pueblo</t>
  </si>
  <si>
    <t>Rio Blanco County, Colorado</t>
  </si>
  <si>
    <t>Rio Blanco</t>
  </si>
  <si>
    <t>Rio Grande County, Colorado</t>
  </si>
  <si>
    <t>Rio Grande</t>
  </si>
  <si>
    <t>Routt County, Colorado</t>
  </si>
  <si>
    <t>Routt</t>
  </si>
  <si>
    <t>Saguache County, Colorado</t>
  </si>
  <si>
    <t>Saguache</t>
  </si>
  <si>
    <t>San Juan County, Colorado</t>
  </si>
  <si>
    <t>San Juan</t>
  </si>
  <si>
    <t>San Miguel County, Colorado</t>
  </si>
  <si>
    <t>San Miguel</t>
  </si>
  <si>
    <t>Sedgwick County, Colorado</t>
  </si>
  <si>
    <t>Sedgwick</t>
  </si>
  <si>
    <t>Summit County, Colorado</t>
  </si>
  <si>
    <t>Summit</t>
  </si>
  <si>
    <t>Teller County, Colorado</t>
  </si>
  <si>
    <t>Teller</t>
  </si>
  <si>
    <t>Washington County, Colorado</t>
  </si>
  <si>
    <t>Washington</t>
  </si>
  <si>
    <t>Weld County, Colorado</t>
  </si>
  <si>
    <t>Weld</t>
  </si>
  <si>
    <t>Yuma County, Colorado</t>
  </si>
  <si>
    <t>Yuma</t>
  </si>
  <si>
    <t>gap_ratio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</si>
</sst>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166" fontId="16" fillId="33" borderId="0" xfId="1" applyNumberFormat="1" applyFont="1" applyFill="1"/>
    <xf numFmtId="166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workbookViewId="0">
      <pane ySplit="1" topLeftCell="A43" activePane="bottomLeft" state="frozen"/>
      <selection pane="bottomLeft" activeCell="H59" sqref="H59"/>
    </sheetView>
  </sheetViews>
  <sheetFormatPr baseColWidth="10" defaultRowHeight="16" x14ac:dyDescent="0.2"/>
  <cols>
    <col min="2" max="2" width="15.6640625" style="3" customWidth="1"/>
    <col min="4" max="4" width="27" style="3" customWidth="1"/>
    <col min="5" max="5" width="16.6640625" style="3" customWidth="1"/>
  </cols>
  <sheetData>
    <row r="1" spans="1:6" s="1" customFormat="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133</v>
      </c>
    </row>
    <row r="2" spans="1:6" x14ac:dyDescent="0.2">
      <c r="A2" t="s">
        <v>5</v>
      </c>
      <c r="B2" s="3">
        <v>60038</v>
      </c>
      <c r="C2" t="s">
        <v>6</v>
      </c>
      <c r="D2" s="3">
        <v>5456</v>
      </c>
      <c r="E2" s="3">
        <v>54582</v>
      </c>
      <c r="F2">
        <f>(E2/B2)*100</f>
        <v>90.912422132649311</v>
      </c>
    </row>
    <row r="3" spans="1:6" x14ac:dyDescent="0.2">
      <c r="A3" t="s">
        <v>7</v>
      </c>
      <c r="B3" s="3">
        <v>1833</v>
      </c>
      <c r="C3" t="s">
        <v>8</v>
      </c>
      <c r="D3" s="3">
        <v>163</v>
      </c>
      <c r="E3" s="3">
        <v>1670</v>
      </c>
      <c r="F3">
        <f t="shared" ref="F3:F65" si="0">(E3/B3)*100</f>
        <v>91.107474086197499</v>
      </c>
    </row>
    <row r="4" spans="1:6" x14ac:dyDescent="0.2">
      <c r="A4" t="s">
        <v>9</v>
      </c>
      <c r="B4" s="3">
        <v>69596</v>
      </c>
      <c r="C4" t="s">
        <v>10</v>
      </c>
      <c r="D4" s="3">
        <v>11796</v>
      </c>
      <c r="E4" s="3">
        <v>57800</v>
      </c>
      <c r="F4">
        <f t="shared" si="0"/>
        <v>83.050750043105921</v>
      </c>
    </row>
    <row r="5" spans="1:6" x14ac:dyDescent="0.2">
      <c r="A5" t="s">
        <v>11</v>
      </c>
      <c r="B5" s="3">
        <v>1101</v>
      </c>
      <c r="C5" t="s">
        <v>12</v>
      </c>
      <c r="D5" s="3">
        <v>82</v>
      </c>
      <c r="E5" s="3">
        <v>1019</v>
      </c>
      <c r="F5">
        <f t="shared" si="0"/>
        <v>92.552225249772931</v>
      </c>
    </row>
    <row r="6" spans="1:6" x14ac:dyDescent="0.2">
      <c r="A6" t="s">
        <v>13</v>
      </c>
      <c r="B6" s="3">
        <v>394</v>
      </c>
      <c r="C6" t="s">
        <v>14</v>
      </c>
      <c r="D6" s="3">
        <v>15</v>
      </c>
      <c r="E6" s="3">
        <v>379</v>
      </c>
      <c r="F6">
        <f t="shared" si="0"/>
        <v>96.19289340101524</v>
      </c>
    </row>
    <row r="7" spans="1:6" x14ac:dyDescent="0.2">
      <c r="A7" t="s">
        <v>15</v>
      </c>
      <c r="B7" s="3">
        <v>474</v>
      </c>
      <c r="C7" t="s">
        <v>16</v>
      </c>
      <c r="D7" s="3">
        <v>20</v>
      </c>
      <c r="E7" s="3">
        <v>454</v>
      </c>
      <c r="F7">
        <f t="shared" si="0"/>
        <v>95.780590717299575</v>
      </c>
    </row>
    <row r="8" spans="1:6" x14ac:dyDescent="0.2">
      <c r="A8" t="s">
        <v>17</v>
      </c>
      <c r="B8" s="3">
        <v>24903</v>
      </c>
      <c r="C8" t="s">
        <v>18</v>
      </c>
      <c r="D8" s="3">
        <v>4206</v>
      </c>
      <c r="E8" s="3">
        <v>20697</v>
      </c>
      <c r="F8">
        <f t="shared" si="0"/>
        <v>83.11046861823877</v>
      </c>
    </row>
    <row r="9" spans="1:6" x14ac:dyDescent="0.2">
      <c r="A9" t="s">
        <v>19</v>
      </c>
      <c r="B9" s="3">
        <v>6499</v>
      </c>
      <c r="C9" t="s">
        <v>20</v>
      </c>
      <c r="D9" s="3">
        <v>1296</v>
      </c>
      <c r="E9" s="3">
        <v>5203</v>
      </c>
      <c r="F9">
        <f t="shared" si="0"/>
        <v>80.0584705339283</v>
      </c>
    </row>
    <row r="10" spans="1:6" x14ac:dyDescent="0.2">
      <c r="A10" t="s">
        <v>21</v>
      </c>
      <c r="B10" s="3">
        <v>1272</v>
      </c>
      <c r="C10" t="s">
        <v>22</v>
      </c>
      <c r="D10" s="3">
        <v>174</v>
      </c>
      <c r="E10" s="3">
        <v>1098</v>
      </c>
      <c r="F10">
        <f t="shared" si="0"/>
        <v>86.320754716981128</v>
      </c>
    </row>
    <row r="11" spans="1:6" x14ac:dyDescent="0.2">
      <c r="A11" t="s">
        <v>23</v>
      </c>
      <c r="B11" s="3">
        <v>175</v>
      </c>
      <c r="C11" t="s">
        <v>24</v>
      </c>
      <c r="D11" s="3">
        <v>55</v>
      </c>
      <c r="E11" s="3">
        <v>120</v>
      </c>
      <c r="F11">
        <f t="shared" si="0"/>
        <v>68.571428571428569</v>
      </c>
    </row>
    <row r="12" spans="1:6" x14ac:dyDescent="0.2">
      <c r="A12" t="s">
        <v>25</v>
      </c>
      <c r="B12" s="3">
        <v>584</v>
      </c>
      <c r="C12" t="s">
        <v>26</v>
      </c>
      <c r="D12" s="3">
        <v>113</v>
      </c>
      <c r="E12" s="3">
        <v>471</v>
      </c>
      <c r="F12">
        <f t="shared" si="0"/>
        <v>80.650684931506845</v>
      </c>
    </row>
    <row r="13" spans="1:6" x14ac:dyDescent="0.2">
      <c r="A13" t="s">
        <v>27</v>
      </c>
      <c r="B13" s="3">
        <v>924</v>
      </c>
      <c r="C13" t="s">
        <v>28</v>
      </c>
      <c r="D13" s="3">
        <v>90</v>
      </c>
      <c r="E13" s="3">
        <v>834</v>
      </c>
      <c r="F13">
        <f t="shared" si="0"/>
        <v>90.259740259740255</v>
      </c>
    </row>
    <row r="14" spans="1:6" x14ac:dyDescent="0.2">
      <c r="A14" t="s">
        <v>29</v>
      </c>
      <c r="B14" s="3">
        <v>261</v>
      </c>
      <c r="C14" t="s">
        <v>30</v>
      </c>
      <c r="D14" s="3">
        <v>84</v>
      </c>
      <c r="E14" s="3">
        <v>177</v>
      </c>
      <c r="F14">
        <f t="shared" si="0"/>
        <v>67.81609195402298</v>
      </c>
    </row>
    <row r="15" spans="1:6" x14ac:dyDescent="0.2">
      <c r="A15" t="s">
        <v>31</v>
      </c>
      <c r="B15" s="3">
        <v>273</v>
      </c>
      <c r="C15" t="s">
        <v>32</v>
      </c>
      <c r="D15" s="3">
        <v>18</v>
      </c>
      <c r="E15" s="3">
        <v>255</v>
      </c>
      <c r="F15">
        <f t="shared" si="0"/>
        <v>93.406593406593402</v>
      </c>
    </row>
    <row r="16" spans="1:6" x14ac:dyDescent="0.2">
      <c r="A16" t="s">
        <v>33</v>
      </c>
      <c r="B16" s="3">
        <v>154</v>
      </c>
      <c r="C16" t="s">
        <v>34</v>
      </c>
      <c r="D16" s="3">
        <v>13</v>
      </c>
      <c r="E16" s="3">
        <v>141</v>
      </c>
      <c r="F16">
        <f t="shared" si="0"/>
        <v>91.558441558441558</v>
      </c>
    </row>
    <row r="17" spans="1:6" x14ac:dyDescent="0.2">
      <c r="A17" t="s">
        <v>35</v>
      </c>
      <c r="B17" s="3">
        <v>2520</v>
      </c>
      <c r="C17" t="s">
        <v>36</v>
      </c>
      <c r="D17" s="3">
        <v>124</v>
      </c>
      <c r="E17" s="3">
        <v>2396</v>
      </c>
      <c r="F17">
        <f t="shared" si="0"/>
        <v>95.079365079365076</v>
      </c>
    </row>
    <row r="18" spans="1:6" x14ac:dyDescent="0.2">
      <c r="A18" t="s">
        <v>37</v>
      </c>
      <c r="B18" s="3">
        <v>65094</v>
      </c>
      <c r="C18" t="s">
        <v>38</v>
      </c>
      <c r="D18" s="3">
        <v>12284</v>
      </c>
      <c r="E18" s="3">
        <v>52810</v>
      </c>
      <c r="F18">
        <f t="shared" si="0"/>
        <v>81.128829077948822</v>
      </c>
    </row>
    <row r="19" spans="1:6" x14ac:dyDescent="0.2">
      <c r="A19" t="s">
        <v>39</v>
      </c>
      <c r="B19" s="3">
        <v>153</v>
      </c>
      <c r="C19" t="s">
        <v>40</v>
      </c>
      <c r="D19" s="3">
        <v>12</v>
      </c>
      <c r="E19" s="3">
        <v>141</v>
      </c>
      <c r="F19">
        <f t="shared" si="0"/>
        <v>92.156862745098039</v>
      </c>
    </row>
    <row r="20" spans="1:6" x14ac:dyDescent="0.2">
      <c r="A20" t="s">
        <v>41</v>
      </c>
      <c r="B20" s="3">
        <v>38689</v>
      </c>
      <c r="C20" t="s">
        <v>42</v>
      </c>
      <c r="D20" s="3">
        <v>5837</v>
      </c>
      <c r="E20" s="3">
        <v>32852</v>
      </c>
      <c r="F20">
        <f t="shared" si="0"/>
        <v>84.913024373853034</v>
      </c>
    </row>
    <row r="21" spans="1:6" x14ac:dyDescent="0.2">
      <c r="A21" t="s">
        <v>43</v>
      </c>
      <c r="B21" s="3">
        <v>4871</v>
      </c>
      <c r="C21" t="s">
        <v>44</v>
      </c>
      <c r="D21" s="3">
        <v>1187</v>
      </c>
      <c r="E21" s="3">
        <v>3684</v>
      </c>
      <c r="F21">
        <f t="shared" si="0"/>
        <v>75.631287210018471</v>
      </c>
    </row>
    <row r="22" spans="1:6" x14ac:dyDescent="0.2">
      <c r="A22" t="s">
        <v>45</v>
      </c>
      <c r="B22" s="3">
        <v>82733</v>
      </c>
      <c r="C22" t="s">
        <v>46</v>
      </c>
      <c r="D22" s="3">
        <v>8153</v>
      </c>
      <c r="E22" s="3">
        <v>74580</v>
      </c>
      <c r="F22">
        <f t="shared" si="0"/>
        <v>90.145407515743415</v>
      </c>
    </row>
    <row r="23" spans="1:6" x14ac:dyDescent="0.2">
      <c r="A23" t="s">
        <v>47</v>
      </c>
      <c r="B23" s="3">
        <v>2580</v>
      </c>
      <c r="C23" t="s">
        <v>48</v>
      </c>
      <c r="D23" s="3">
        <v>220</v>
      </c>
      <c r="E23" s="3">
        <v>2360</v>
      </c>
      <c r="F23">
        <f t="shared" si="0"/>
        <v>91.472868217054256</v>
      </c>
    </row>
    <row r="24" spans="1:6" x14ac:dyDescent="0.2">
      <c r="A24" t="s">
        <v>49</v>
      </c>
      <c r="B24" s="3">
        <v>3453</v>
      </c>
      <c r="C24" t="s">
        <v>50</v>
      </c>
      <c r="D24" s="3">
        <v>308</v>
      </c>
      <c r="E24" s="3">
        <v>3145</v>
      </c>
      <c r="F24">
        <f t="shared" si="0"/>
        <v>91.080220098465105</v>
      </c>
    </row>
    <row r="25" spans="1:6" x14ac:dyDescent="0.2">
      <c r="A25" t="s">
        <v>51</v>
      </c>
      <c r="B25" s="3">
        <v>7169</v>
      </c>
      <c r="C25" t="s">
        <v>52</v>
      </c>
      <c r="D25" s="3">
        <v>459</v>
      </c>
      <c r="E25" s="3">
        <v>6710</v>
      </c>
      <c r="F25">
        <f t="shared" si="0"/>
        <v>93.597433393778772</v>
      </c>
    </row>
    <row r="26" spans="1:6" x14ac:dyDescent="0.2">
      <c r="A26" t="s">
        <v>53</v>
      </c>
      <c r="B26" s="3">
        <v>569</v>
      </c>
      <c r="C26" t="s">
        <v>54</v>
      </c>
      <c r="D26" s="3">
        <v>80</v>
      </c>
      <c r="E26" s="3">
        <v>489</v>
      </c>
      <c r="F26">
        <f t="shared" si="0"/>
        <v>85.940246045694195</v>
      </c>
    </row>
    <row r="27" spans="1:6" x14ac:dyDescent="0.2">
      <c r="A27" t="s">
        <v>55</v>
      </c>
      <c r="B27" s="3">
        <v>1313</v>
      </c>
      <c r="C27" t="s">
        <v>56</v>
      </c>
      <c r="D27" s="3">
        <v>147</v>
      </c>
      <c r="E27" s="3">
        <v>1166</v>
      </c>
      <c r="F27">
        <f t="shared" si="0"/>
        <v>88.804265041888812</v>
      </c>
    </row>
    <row r="28" spans="1:6" x14ac:dyDescent="0.2">
      <c r="A28" t="s">
        <v>57</v>
      </c>
      <c r="B28" s="3">
        <v>976</v>
      </c>
      <c r="C28" t="s">
        <v>58</v>
      </c>
      <c r="D28" s="3">
        <v>119</v>
      </c>
      <c r="E28" s="3">
        <v>857</v>
      </c>
      <c r="F28">
        <f t="shared" si="0"/>
        <v>87.807377049180317</v>
      </c>
    </row>
    <row r="29" spans="1:6" x14ac:dyDescent="0.2">
      <c r="A29" t="s">
        <v>59</v>
      </c>
      <c r="B29" s="3">
        <v>79</v>
      </c>
      <c r="C29" t="s">
        <v>60</v>
      </c>
      <c r="D29" s="3">
        <v>15</v>
      </c>
      <c r="E29" s="3">
        <v>64</v>
      </c>
      <c r="F29">
        <f t="shared" si="0"/>
        <v>81.012658227848107</v>
      </c>
    </row>
    <row r="30" spans="1:6" x14ac:dyDescent="0.2">
      <c r="A30" t="s">
        <v>61</v>
      </c>
      <c r="B30" s="3">
        <v>354</v>
      </c>
      <c r="C30" t="s">
        <v>62</v>
      </c>
      <c r="D30" s="3">
        <v>65</v>
      </c>
      <c r="E30" s="3">
        <v>289</v>
      </c>
      <c r="F30">
        <f t="shared" si="0"/>
        <v>81.638418079096041</v>
      </c>
    </row>
    <row r="31" spans="1:6" x14ac:dyDescent="0.2">
      <c r="A31" t="s">
        <v>63</v>
      </c>
      <c r="B31" s="3">
        <v>121</v>
      </c>
      <c r="C31" t="s">
        <v>64</v>
      </c>
      <c r="D31" s="3">
        <v>15</v>
      </c>
      <c r="E31" s="3">
        <v>106</v>
      </c>
      <c r="F31">
        <f t="shared" si="0"/>
        <v>87.603305785123965</v>
      </c>
    </row>
    <row r="32" spans="1:6" x14ac:dyDescent="0.2">
      <c r="A32" t="s">
        <v>65</v>
      </c>
      <c r="B32" s="3">
        <v>50387</v>
      </c>
      <c r="C32" t="s">
        <v>66</v>
      </c>
      <c r="D32" s="3">
        <v>7586</v>
      </c>
      <c r="E32" s="3">
        <v>42801</v>
      </c>
      <c r="F32">
        <f t="shared" si="0"/>
        <v>84.944529342886071</v>
      </c>
    </row>
    <row r="33" spans="1:6" x14ac:dyDescent="0.2">
      <c r="A33" t="s">
        <v>67</v>
      </c>
      <c r="B33" s="3">
        <v>143</v>
      </c>
      <c r="C33" t="s">
        <v>68</v>
      </c>
      <c r="D33" s="3">
        <v>15</v>
      </c>
      <c r="E33" s="3">
        <v>128</v>
      </c>
      <c r="F33">
        <f t="shared" si="0"/>
        <v>89.510489510489506</v>
      </c>
    </row>
    <row r="34" spans="1:6" x14ac:dyDescent="0.2">
      <c r="A34" t="s">
        <v>69</v>
      </c>
      <c r="B34" s="3">
        <v>821</v>
      </c>
      <c r="C34" t="s">
        <v>70</v>
      </c>
      <c r="D34" s="3">
        <v>132</v>
      </c>
      <c r="E34" s="3">
        <v>689</v>
      </c>
      <c r="F34">
        <f t="shared" si="0"/>
        <v>83.922046285018268</v>
      </c>
    </row>
    <row r="35" spans="1:6" x14ac:dyDescent="0.2">
      <c r="A35" t="s">
        <v>71</v>
      </c>
      <c r="B35" s="3">
        <v>4285</v>
      </c>
      <c r="C35" t="s">
        <v>72</v>
      </c>
      <c r="D35" s="3">
        <v>505</v>
      </c>
      <c r="E35" s="3">
        <v>3780</v>
      </c>
      <c r="F35">
        <f t="shared" si="0"/>
        <v>88.214702450408396</v>
      </c>
    </row>
    <row r="36" spans="1:6" x14ac:dyDescent="0.2">
      <c r="A36" t="s">
        <v>73</v>
      </c>
      <c r="B36" s="3">
        <v>639</v>
      </c>
      <c r="C36" t="s">
        <v>74</v>
      </c>
      <c r="D36" s="3">
        <v>10</v>
      </c>
      <c r="E36" s="3">
        <v>629</v>
      </c>
      <c r="F36">
        <f t="shared" si="0"/>
        <v>98.435054773082939</v>
      </c>
    </row>
    <row r="37" spans="1:6" x14ac:dyDescent="0.2">
      <c r="A37" t="s">
        <v>75</v>
      </c>
      <c r="B37" s="3">
        <v>30084</v>
      </c>
      <c r="C37" t="s">
        <v>76</v>
      </c>
      <c r="D37" s="3">
        <v>2629</v>
      </c>
      <c r="E37" s="3">
        <v>27455</v>
      </c>
      <c r="F37">
        <f t="shared" si="0"/>
        <v>91.261135487302226</v>
      </c>
    </row>
    <row r="38" spans="1:6" x14ac:dyDescent="0.2">
      <c r="A38" t="s">
        <v>77</v>
      </c>
      <c r="B38" s="3">
        <v>1209</v>
      </c>
      <c r="C38" t="s">
        <v>78</v>
      </c>
      <c r="D38" s="3">
        <v>148</v>
      </c>
      <c r="E38" s="3">
        <v>1061</v>
      </c>
      <c r="F38">
        <f t="shared" si="0"/>
        <v>87.758478081058726</v>
      </c>
    </row>
    <row r="39" spans="1:6" x14ac:dyDescent="0.2">
      <c r="A39" t="s">
        <v>79</v>
      </c>
      <c r="B39" s="3">
        <v>410</v>
      </c>
      <c r="C39" t="s">
        <v>80</v>
      </c>
      <c r="D39" s="3">
        <v>20</v>
      </c>
      <c r="E39" s="3">
        <v>390</v>
      </c>
      <c r="F39">
        <f t="shared" si="0"/>
        <v>95.121951219512198</v>
      </c>
    </row>
    <row r="40" spans="1:6" x14ac:dyDescent="0.2">
      <c r="A40" t="s">
        <v>81</v>
      </c>
      <c r="B40" s="3">
        <v>1894</v>
      </c>
      <c r="C40" t="s">
        <v>82</v>
      </c>
      <c r="D40" s="3">
        <v>126</v>
      </c>
      <c r="E40" s="3">
        <v>1768</v>
      </c>
      <c r="F40">
        <f t="shared" si="0"/>
        <v>93.347412882787751</v>
      </c>
    </row>
    <row r="41" spans="1:6" x14ac:dyDescent="0.2">
      <c r="A41" t="s">
        <v>83</v>
      </c>
      <c r="B41" s="3">
        <v>15148</v>
      </c>
      <c r="C41" t="s">
        <v>84</v>
      </c>
      <c r="D41" s="3">
        <v>1322</v>
      </c>
      <c r="E41" s="3">
        <v>13826</v>
      </c>
      <c r="F41">
        <f t="shared" si="0"/>
        <v>91.272775283865855</v>
      </c>
    </row>
    <row r="42" spans="1:6" x14ac:dyDescent="0.2">
      <c r="A42" t="s">
        <v>85</v>
      </c>
      <c r="B42" s="3">
        <v>35</v>
      </c>
      <c r="C42" t="s">
        <v>86</v>
      </c>
      <c r="D42" s="3">
        <v>10</v>
      </c>
      <c r="E42" s="3">
        <v>25</v>
      </c>
      <c r="F42">
        <f t="shared" si="0"/>
        <v>71.428571428571431</v>
      </c>
    </row>
    <row r="43" spans="1:6" x14ac:dyDescent="0.2">
      <c r="A43" t="s">
        <v>87</v>
      </c>
      <c r="B43" s="3">
        <v>1398</v>
      </c>
      <c r="C43" t="s">
        <v>88</v>
      </c>
      <c r="D43" s="3">
        <v>238</v>
      </c>
      <c r="E43" s="3">
        <v>1160</v>
      </c>
      <c r="F43">
        <f t="shared" si="0"/>
        <v>82.975679542203153</v>
      </c>
    </row>
    <row r="44" spans="1:6" x14ac:dyDescent="0.2">
      <c r="A44" t="s">
        <v>89</v>
      </c>
      <c r="B44" s="3">
        <v>2396</v>
      </c>
      <c r="C44" t="s">
        <v>90</v>
      </c>
      <c r="D44" s="3">
        <v>223</v>
      </c>
      <c r="E44" s="3">
        <v>2173</v>
      </c>
      <c r="F44">
        <f t="shared" si="0"/>
        <v>90.692821368948245</v>
      </c>
    </row>
    <row r="45" spans="1:6" x14ac:dyDescent="0.2">
      <c r="A45" t="s">
        <v>91</v>
      </c>
      <c r="B45" s="3">
        <v>3852</v>
      </c>
      <c r="C45" t="s">
        <v>92</v>
      </c>
      <c r="D45" s="3">
        <v>393</v>
      </c>
      <c r="E45" s="3">
        <v>3459</v>
      </c>
      <c r="F45">
        <f t="shared" si="0"/>
        <v>89.797507788161994</v>
      </c>
    </row>
    <row r="46" spans="1:6" x14ac:dyDescent="0.2">
      <c r="A46" t="s">
        <v>93</v>
      </c>
      <c r="B46" s="3">
        <v>3881</v>
      </c>
      <c r="C46" t="s">
        <v>94</v>
      </c>
      <c r="D46" s="3">
        <v>206</v>
      </c>
      <c r="E46" s="3">
        <v>3675</v>
      </c>
      <c r="F46">
        <f t="shared" si="0"/>
        <v>94.692089667611441</v>
      </c>
    </row>
    <row r="47" spans="1:6" x14ac:dyDescent="0.2">
      <c r="A47" t="s">
        <v>95</v>
      </c>
      <c r="B47" s="3">
        <v>1744</v>
      </c>
      <c r="C47" t="s">
        <v>96</v>
      </c>
      <c r="D47" s="3">
        <v>362</v>
      </c>
      <c r="E47" s="3">
        <v>1382</v>
      </c>
      <c r="F47">
        <f t="shared" si="0"/>
        <v>79.243119266055047</v>
      </c>
    </row>
    <row r="48" spans="1:6" x14ac:dyDescent="0.2">
      <c r="A48" t="s">
        <v>97</v>
      </c>
      <c r="B48" s="3">
        <v>173</v>
      </c>
      <c r="C48" t="s">
        <v>98</v>
      </c>
      <c r="D48" s="3">
        <v>51</v>
      </c>
      <c r="E48" s="3">
        <v>122</v>
      </c>
      <c r="F48">
        <f t="shared" si="0"/>
        <v>70.520231213872833</v>
      </c>
    </row>
    <row r="49" spans="1:6" x14ac:dyDescent="0.2">
      <c r="A49" t="s">
        <v>99</v>
      </c>
      <c r="B49" s="3">
        <v>942</v>
      </c>
      <c r="C49" t="s">
        <v>100</v>
      </c>
      <c r="D49" s="3">
        <v>39</v>
      </c>
      <c r="E49" s="3">
        <v>903</v>
      </c>
      <c r="F49">
        <f t="shared" si="0"/>
        <v>95.859872611464965</v>
      </c>
    </row>
    <row r="50" spans="1:6" x14ac:dyDescent="0.2">
      <c r="A50" t="s">
        <v>101</v>
      </c>
      <c r="B50" s="3">
        <v>566</v>
      </c>
      <c r="C50" t="s">
        <v>102</v>
      </c>
      <c r="D50" s="3">
        <v>18</v>
      </c>
      <c r="E50" s="3">
        <v>548</v>
      </c>
      <c r="F50">
        <f t="shared" si="0"/>
        <v>96.81978798586573</v>
      </c>
    </row>
    <row r="51" spans="1:6" x14ac:dyDescent="0.2">
      <c r="A51" t="s">
        <v>103</v>
      </c>
      <c r="B51" s="3">
        <v>842</v>
      </c>
      <c r="C51" t="s">
        <v>104</v>
      </c>
      <c r="D51" s="3">
        <v>255</v>
      </c>
      <c r="E51" s="3">
        <v>587</v>
      </c>
      <c r="F51">
        <f t="shared" si="0"/>
        <v>69.714964370546312</v>
      </c>
    </row>
    <row r="52" spans="1:6" x14ac:dyDescent="0.2">
      <c r="A52" t="s">
        <v>105</v>
      </c>
      <c r="B52" s="3">
        <v>1797</v>
      </c>
      <c r="C52" t="s">
        <v>106</v>
      </c>
      <c r="D52" s="3">
        <v>177</v>
      </c>
      <c r="E52" s="3">
        <v>1620</v>
      </c>
      <c r="F52">
        <f t="shared" si="0"/>
        <v>90.150250417362258</v>
      </c>
    </row>
    <row r="53" spans="1:6" x14ac:dyDescent="0.2">
      <c r="A53" t="s">
        <v>107</v>
      </c>
      <c r="B53" s="3">
        <v>16758</v>
      </c>
      <c r="C53" t="s">
        <v>108</v>
      </c>
      <c r="D53" s="3">
        <v>1370</v>
      </c>
      <c r="E53" s="3">
        <v>15388</v>
      </c>
      <c r="F53">
        <f t="shared" si="0"/>
        <v>91.824800095476789</v>
      </c>
    </row>
    <row r="54" spans="1:6" x14ac:dyDescent="0.2">
      <c r="A54" t="s">
        <v>109</v>
      </c>
      <c r="B54" s="3">
        <v>773</v>
      </c>
      <c r="C54" t="s">
        <v>110</v>
      </c>
      <c r="D54" s="3">
        <v>12</v>
      </c>
      <c r="E54" s="3">
        <v>761</v>
      </c>
      <c r="F54">
        <f t="shared" si="0"/>
        <v>98.447606727037524</v>
      </c>
    </row>
    <row r="55" spans="1:6" x14ac:dyDescent="0.2">
      <c r="A55" t="s">
        <v>111</v>
      </c>
      <c r="B55" s="3">
        <v>1021</v>
      </c>
      <c r="C55" t="s">
        <v>112</v>
      </c>
      <c r="D55" s="3">
        <v>159</v>
      </c>
      <c r="E55" s="3">
        <v>862</v>
      </c>
      <c r="F55">
        <f t="shared" si="0"/>
        <v>84.427032321253677</v>
      </c>
    </row>
    <row r="56" spans="1:6" x14ac:dyDescent="0.2">
      <c r="A56" t="s">
        <v>113</v>
      </c>
      <c r="B56" s="3">
        <v>1961</v>
      </c>
      <c r="C56" t="s">
        <v>114</v>
      </c>
      <c r="D56" s="3">
        <v>248</v>
      </c>
      <c r="E56" s="3">
        <v>1713</v>
      </c>
      <c r="F56">
        <f t="shared" si="0"/>
        <v>87.353391126976035</v>
      </c>
    </row>
    <row r="57" spans="1:6" x14ac:dyDescent="0.2">
      <c r="A57" t="s">
        <v>115</v>
      </c>
      <c r="B57" s="3">
        <v>558</v>
      </c>
      <c r="C57" t="s">
        <v>116</v>
      </c>
      <c r="D57" s="3">
        <v>90</v>
      </c>
      <c r="E57" s="3">
        <v>468</v>
      </c>
      <c r="F57">
        <f t="shared" si="0"/>
        <v>83.870967741935488</v>
      </c>
    </row>
    <row r="58" spans="1:6" x14ac:dyDescent="0.2">
      <c r="A58" t="s">
        <v>117</v>
      </c>
      <c r="B58" s="3">
        <v>49</v>
      </c>
      <c r="C58" t="s">
        <v>118</v>
      </c>
      <c r="D58" s="3">
        <v>25</v>
      </c>
      <c r="E58" s="3">
        <v>24</v>
      </c>
      <c r="F58">
        <f t="shared" si="0"/>
        <v>48.979591836734691</v>
      </c>
    </row>
    <row r="59" spans="1:6" x14ac:dyDescent="0.2">
      <c r="A59" t="s">
        <v>119</v>
      </c>
      <c r="B59" s="3">
        <v>443</v>
      </c>
      <c r="C59" t="s">
        <v>120</v>
      </c>
      <c r="D59" s="3">
        <v>175</v>
      </c>
      <c r="E59" s="3">
        <v>268</v>
      </c>
      <c r="F59">
        <f t="shared" si="0"/>
        <v>60.496613995485326</v>
      </c>
    </row>
    <row r="60" spans="1:6" x14ac:dyDescent="0.2">
      <c r="A60" t="s">
        <v>121</v>
      </c>
      <c r="B60" s="3">
        <v>255</v>
      </c>
      <c r="C60" t="s">
        <v>122</v>
      </c>
      <c r="D60" s="3">
        <v>0</v>
      </c>
      <c r="E60" s="3">
        <v>255</v>
      </c>
      <c r="F60">
        <f t="shared" si="0"/>
        <v>100</v>
      </c>
    </row>
    <row r="61" spans="1:6" x14ac:dyDescent="0.2">
      <c r="A61" t="s">
        <v>123</v>
      </c>
      <c r="B61" s="3">
        <v>2470</v>
      </c>
      <c r="C61" t="s">
        <v>124</v>
      </c>
      <c r="D61" s="3">
        <v>432</v>
      </c>
      <c r="E61" s="3">
        <v>2038</v>
      </c>
      <c r="F61">
        <f t="shared" si="0"/>
        <v>82.510121457489888</v>
      </c>
    </row>
    <row r="62" spans="1:6" x14ac:dyDescent="0.2">
      <c r="A62" t="s">
        <v>125</v>
      </c>
      <c r="B62" s="3">
        <v>1858</v>
      </c>
      <c r="C62" t="s">
        <v>126</v>
      </c>
      <c r="D62" s="3">
        <v>253</v>
      </c>
      <c r="E62" s="3">
        <v>1605</v>
      </c>
      <c r="F62">
        <f t="shared" si="0"/>
        <v>86.383207750269108</v>
      </c>
    </row>
    <row r="63" spans="1:6" x14ac:dyDescent="0.2">
      <c r="A63" t="s">
        <v>127</v>
      </c>
      <c r="B63" s="3">
        <v>572</v>
      </c>
      <c r="C63" t="s">
        <v>128</v>
      </c>
      <c r="D63" s="3">
        <v>32</v>
      </c>
      <c r="E63" s="3">
        <v>540</v>
      </c>
      <c r="F63">
        <f t="shared" si="0"/>
        <v>94.4055944055944</v>
      </c>
    </row>
    <row r="64" spans="1:6" x14ac:dyDescent="0.2">
      <c r="A64" t="s">
        <v>129</v>
      </c>
      <c r="B64" s="3">
        <v>42197</v>
      </c>
      <c r="C64" t="s">
        <v>130</v>
      </c>
      <c r="D64" s="3">
        <v>3547</v>
      </c>
      <c r="E64" s="3">
        <v>38650</v>
      </c>
      <c r="F64">
        <f t="shared" si="0"/>
        <v>91.594189160366852</v>
      </c>
    </row>
    <row r="65" spans="1:6" x14ac:dyDescent="0.2">
      <c r="A65" t="s">
        <v>131</v>
      </c>
      <c r="B65" s="3">
        <v>1460</v>
      </c>
      <c r="C65" t="s">
        <v>132</v>
      </c>
      <c r="D65" s="3">
        <v>151</v>
      </c>
      <c r="E65" s="3">
        <v>1309</v>
      </c>
      <c r="F65">
        <f t="shared" si="0"/>
        <v>89.657534246575338</v>
      </c>
    </row>
    <row r="67" spans="1:6" x14ac:dyDescent="0.2">
      <c r="E67" s="3">
        <f>SUM(E2:E65)</f>
        <v>498611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spot_kids_gap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Newman</dc:creator>
  <cp:lastModifiedBy>Zack Newman</cp:lastModifiedBy>
  <dcterms:created xsi:type="dcterms:W3CDTF">2026-02-11T19:45:24Z</dcterms:created>
  <dcterms:modified xsi:type="dcterms:W3CDTF">2026-02-11T20:04:18Z</dcterms:modified>
</cp:coreProperties>
</file>